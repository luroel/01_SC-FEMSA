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1" codeName="{E5D1E7B1-6628-F0F0-D09B-76B25B5F3CD3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luigi/Documents/DataScience_REMOTEdata_Github/01_SC-FEMSA/data/"/>
    </mc:Choice>
  </mc:AlternateContent>
  <xr:revisionPtr revIDLastSave="0" documentId="13_ncr:1_{8760A972-8EF9-6C4F-852C-9F1C49FFE0DB}" xr6:coauthVersionLast="47" xr6:coauthVersionMax="47" xr10:uidLastSave="{00000000-0000-0000-0000-000000000000}"/>
  <bookViews>
    <workbookView xWindow="0" yWindow="600" windowWidth="28800" windowHeight="16220" xr2:uid="{00000000-000D-0000-FFFF-FFFF00000000}"/>
  </bookViews>
  <sheets>
    <sheet name="Comportamiento Enfriadores Geo" sheetId="1" r:id="rId1"/>
    <sheet name="Top 5 Mayor Invasión" sheetId="2" r:id="rId2"/>
    <sheet name="Tipo Invasión Distruidor" sheetId="3" r:id="rId3"/>
    <sheet name="Mix de Competencia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D3" i="3"/>
  <c r="D2" i="3"/>
  <c r="C4" i="3"/>
  <c r="C3" i="3"/>
  <c r="C2" i="3"/>
  <c r="B4" i="3"/>
  <c r="B3" i="3"/>
  <c r="B2" i="3"/>
  <c r="E23" i="2"/>
  <c r="E24" i="2"/>
  <c r="E25" i="2"/>
  <c r="F25" i="2" s="1"/>
  <c r="E26" i="2"/>
  <c r="F26" i="2" s="1"/>
  <c r="E22" i="2"/>
  <c r="D23" i="2"/>
  <c r="D24" i="2"/>
  <c r="D25" i="2"/>
  <c r="D26" i="2"/>
  <c r="D22" i="2"/>
  <c r="F22" i="2" s="1"/>
  <c r="C31" i="1"/>
  <c r="C32" i="1"/>
  <c r="C33" i="1"/>
  <c r="E33" i="1" s="1"/>
  <c r="C34" i="1"/>
  <c r="E34" i="1" s="1"/>
  <c r="C35" i="1"/>
  <c r="E35" i="1" s="1"/>
  <c r="C36" i="1"/>
  <c r="E36" i="1" s="1"/>
  <c r="E31" i="1"/>
  <c r="E32" i="1"/>
  <c r="E30" i="1"/>
  <c r="D31" i="1"/>
  <c r="D32" i="1"/>
  <c r="D33" i="1"/>
  <c r="D34" i="1"/>
  <c r="D35" i="1"/>
  <c r="D36" i="1"/>
  <c r="D30" i="1"/>
  <c r="C30" i="1"/>
  <c r="F31" i="2"/>
  <c r="F30" i="2"/>
  <c r="F29" i="2"/>
  <c r="F28" i="2"/>
  <c r="F27" i="2"/>
  <c r="F24" i="2"/>
  <c r="F23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E43" i="1"/>
  <c r="E42" i="1"/>
  <c r="E41" i="1"/>
  <c r="E40" i="1"/>
  <c r="E39" i="1"/>
  <c r="E38" i="1"/>
  <c r="E37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<sst xmlns="http://schemas.openxmlformats.org/spreadsheetml/2006/main" count="167" uniqueCount="42">
  <si>
    <t>Distribuidor</t>
  </si>
  <si>
    <t>Mix de Competencia</t>
  </si>
  <si>
    <t>Erick Zamora</t>
  </si>
  <si>
    <t>Jarritos</t>
  </si>
  <si>
    <t>Jumex</t>
  </si>
  <si>
    <t>LALA</t>
  </si>
  <si>
    <t>Energizantes</t>
  </si>
  <si>
    <t>Otro</t>
  </si>
  <si>
    <t>Peñafiel</t>
  </si>
  <si>
    <t>PepsiCo</t>
  </si>
  <si>
    <t>Juan Pérez</t>
  </si>
  <si>
    <t>Red Cola</t>
  </si>
  <si>
    <t>Electrolit</t>
  </si>
  <si>
    <t>José Gutiérrez</t>
  </si>
  <si>
    <t>Bonafont</t>
  </si>
  <si>
    <t xml:space="preserve">Tipo de invasión </t>
  </si>
  <si>
    <t>Distribuidor Juan Pérez</t>
  </si>
  <si>
    <t>Distribuidor José Gutiérrez</t>
  </si>
  <si>
    <t xml:space="preserve">Bebidas de la competencia </t>
  </si>
  <si>
    <t>Algún sólido</t>
  </si>
  <si>
    <t>Bebidas alcohólicas</t>
  </si>
  <si>
    <t>Zona</t>
  </si>
  <si>
    <t>Categoría</t>
  </si>
  <si>
    <t>Mes 1</t>
  </si>
  <si>
    <t>Mes 2</t>
  </si>
  <si>
    <t>vs MA</t>
  </si>
  <si>
    <t>Levantamientos</t>
  </si>
  <si>
    <t>Distribuidor Luis Gómez</t>
  </si>
  <si>
    <t>Distribuidor Rita Hernández</t>
  </si>
  <si>
    <t>Distruibuidor Erick Zamora</t>
  </si>
  <si>
    <t>Refrigeradores</t>
  </si>
  <si>
    <t>Lleno</t>
  </si>
  <si>
    <t>Invasión a refrigerador</t>
  </si>
  <si>
    <t>% Refris invadidos</t>
  </si>
  <si>
    <t>Invasión visible</t>
  </si>
  <si>
    <t>Vs MA</t>
  </si>
  <si>
    <t>Invasiones a refrigerador</t>
  </si>
  <si>
    <t>Porcentaje refris invadidos (%)</t>
  </si>
  <si>
    <t>Porcentaje (%)</t>
  </si>
  <si>
    <t>Distribuidor Erick Zamora (%)</t>
  </si>
  <si>
    <t>Distribuidor Juan Pérez (%)</t>
  </si>
  <si>
    <t>Distribuidor José Gutiérrez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</si>
</sst>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6" formatCode="0.0"/>
  </numFmts>
  <fonts count="6" x14ac:knownFonts="1">
    <font>
      <sz val="11"/>
      <color theme="1"/>
      <name val="Calibri"/>
      <family val="2"/>
      <scheme val="minor"/>
    </font>
    <font>
      <sz val="12"/>
      <color rgb="FFFFFFFF"/>
      <name val="Aptos Narrow"/>
      <family val="2"/>
    </font>
    <font>
      <sz val="11"/>
      <color rgb="FF000000"/>
      <name val="Calibri"/>
      <family val="2"/>
    </font>
    <font>
      <sz val="12"/>
      <color rgb="FF000000"/>
      <name val="Aptos Narrow"/>
      <family val="2"/>
    </font>
    <font>
      <sz val="12"/>
      <color rgb="FF000000"/>
      <name val="Helvetica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84A9"/>
      </patternFill>
    </fill>
    <fill>
      <patternFill patternType="solid">
        <fgColor rgb="FFC1E5F5"/>
      </patternFill>
    </fill>
    <fill>
      <patternFill patternType="solid">
        <fgColor rgb="FFCAEEFB"/>
      </patternFill>
    </fill>
  </fills>
  <borders count="3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2" fillId="0" borderId="2" xfId="0" applyNumberFormat="1" applyFont="1" applyBorder="1" applyAlignment="1">
      <alignment horizontal="right"/>
    </xf>
    <xf numFmtId="164" fontId="0" fillId="0" borderId="0" xfId="0" applyNumberFormat="1" applyAlignment="1">
      <alignment horizontal="right"/>
    </xf>
    <xf numFmtId="3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right"/>
    </xf>
    <xf numFmtId="3" fontId="2" fillId="0" borderId="2" xfId="0" applyNumberFormat="1" applyFont="1" applyBorder="1" applyAlignment="1">
      <alignment horizontal="right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3" fontId="3" fillId="3" borderId="1" xfId="0" applyNumberFormat="1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3" fontId="3" fillId="0" borderId="2" xfId="0" applyNumberFormat="1" applyFont="1" applyBorder="1" applyAlignment="1">
      <alignment horizontal="right"/>
    </xf>
    <xf numFmtId="3" fontId="3" fillId="0" borderId="2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3" fontId="3" fillId="4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3" fillId="0" borderId="2" xfId="0" applyFont="1" applyBorder="1" applyAlignment="1">
      <alignment horizontal="left"/>
    </xf>
    <xf numFmtId="3" fontId="0" fillId="0" borderId="0" xfId="0" applyNumberFormat="1" applyAlignment="1">
      <alignment horizontal="left"/>
    </xf>
    <xf numFmtId="0" fontId="5" fillId="0" borderId="2" xfId="0" applyFont="1" applyBorder="1"/>
    <xf numFmtId="2" fontId="2" fillId="0" borderId="2" xfId="0" applyNumberFormat="1" applyFont="1" applyBorder="1" applyAlignment="1">
      <alignment horizontal="right"/>
    </xf>
    <xf numFmtId="166" fontId="3" fillId="0" borderId="2" xfId="0" applyNumberFormat="1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outlinePr summaryBelow="0"/>
  </sheetPr>
  <dimension ref="A1:H43"/>
  <sheetViews>
    <sheetView tabSelected="1" topLeftCell="A14" workbookViewId="0">
      <selection activeCell="C30" sqref="C30:E36"/>
    </sheetView>
  </sheetViews>
  <sheetFormatPr baseColWidth="10" defaultColWidth="8.83203125" defaultRowHeight="15" x14ac:dyDescent="0.2"/>
  <cols>
    <col min="1" max="1" width="5.1640625" style="24" bestFit="1" customWidth="1"/>
    <col min="2" max="2" width="29" style="12" bestFit="1" customWidth="1"/>
    <col min="3" max="3" width="8.6640625" style="14" bestFit="1" customWidth="1"/>
    <col min="4" max="4" width="7.1640625" style="14" bestFit="1" customWidth="1"/>
    <col min="5" max="5" width="7.83203125" style="13" bestFit="1" customWidth="1"/>
    <col min="6" max="6" width="7.83203125" bestFit="1" customWidth="1"/>
    <col min="7" max="7" width="12.5" bestFit="1" customWidth="1"/>
    <col min="8" max="8" width="7.1640625" bestFit="1" customWidth="1"/>
  </cols>
  <sheetData>
    <row r="1" spans="1:5" ht="17.25" customHeight="1" x14ac:dyDescent="0.2">
      <c r="A1" s="5" t="s">
        <v>21</v>
      </c>
      <c r="B1" s="6" t="s">
        <v>22</v>
      </c>
      <c r="C1" s="5" t="s">
        <v>23</v>
      </c>
      <c r="D1" s="5" t="s">
        <v>24</v>
      </c>
      <c r="E1" s="6" t="s">
        <v>35</v>
      </c>
    </row>
    <row r="2" spans="1:5" ht="17.25" customHeight="1" x14ac:dyDescent="0.2">
      <c r="A2" s="15">
        <v>1</v>
      </c>
      <c r="B2" s="16" t="s">
        <v>26</v>
      </c>
      <c r="C2" s="17">
        <v>466</v>
      </c>
      <c r="D2" s="17">
        <v>463</v>
      </c>
      <c r="E2" s="17">
        <f t="shared" ref="E2:E29" si="0">D2-C2</f>
        <v>-3</v>
      </c>
    </row>
    <row r="3" spans="1:5" ht="17.25" customHeight="1" x14ac:dyDescent="0.2">
      <c r="A3" s="18">
        <v>2</v>
      </c>
      <c r="B3" s="19" t="s">
        <v>26</v>
      </c>
      <c r="C3" s="17">
        <v>385</v>
      </c>
      <c r="D3" s="17">
        <v>381</v>
      </c>
      <c r="E3" s="17">
        <f t="shared" si="0"/>
        <v>-4</v>
      </c>
    </row>
    <row r="4" spans="1:5" ht="17.25" customHeight="1" x14ac:dyDescent="0.2">
      <c r="A4" s="18">
        <v>3</v>
      </c>
      <c r="B4" s="19" t="s">
        <v>26</v>
      </c>
      <c r="C4" s="17">
        <v>727</v>
      </c>
      <c r="D4" s="17">
        <v>738</v>
      </c>
      <c r="E4" s="17">
        <f t="shared" si="0"/>
        <v>11</v>
      </c>
    </row>
    <row r="5" spans="1:5" ht="17.25" customHeight="1" x14ac:dyDescent="0.2">
      <c r="A5" s="18">
        <v>4</v>
      </c>
      <c r="B5" s="19" t="s">
        <v>26</v>
      </c>
      <c r="C5" s="17">
        <v>414</v>
      </c>
      <c r="D5" s="17">
        <v>413</v>
      </c>
      <c r="E5" s="17">
        <f t="shared" si="0"/>
        <v>-1</v>
      </c>
    </row>
    <row r="6" spans="1:5" ht="17.25" customHeight="1" x14ac:dyDescent="0.2">
      <c r="A6" s="18">
        <v>5</v>
      </c>
      <c r="B6" s="19" t="s">
        <v>26</v>
      </c>
      <c r="C6" s="17">
        <v>362</v>
      </c>
      <c r="D6" s="17">
        <v>361</v>
      </c>
      <c r="E6" s="17">
        <f t="shared" si="0"/>
        <v>-1</v>
      </c>
    </row>
    <row r="7" spans="1:5" ht="17.25" customHeight="1" x14ac:dyDescent="0.2">
      <c r="A7" s="18">
        <v>6</v>
      </c>
      <c r="B7" s="19" t="s">
        <v>26</v>
      </c>
      <c r="C7" s="17">
        <v>417</v>
      </c>
      <c r="D7" s="17">
        <v>410</v>
      </c>
      <c r="E7" s="17">
        <f t="shared" si="0"/>
        <v>-7</v>
      </c>
    </row>
    <row r="8" spans="1:5" ht="17.25" customHeight="1" x14ac:dyDescent="0.2">
      <c r="A8" s="18">
        <v>7</v>
      </c>
      <c r="B8" s="19" t="s">
        <v>26</v>
      </c>
      <c r="C8" s="17">
        <v>153</v>
      </c>
      <c r="D8" s="17">
        <v>158</v>
      </c>
      <c r="E8" s="17">
        <f t="shared" si="0"/>
        <v>5</v>
      </c>
    </row>
    <row r="9" spans="1:5" ht="17.25" customHeight="1" x14ac:dyDescent="0.2">
      <c r="A9" s="15">
        <v>1</v>
      </c>
      <c r="B9" s="16" t="s">
        <v>30</v>
      </c>
      <c r="C9" s="17">
        <v>610</v>
      </c>
      <c r="D9" s="17">
        <v>611</v>
      </c>
      <c r="E9" s="17">
        <f t="shared" si="0"/>
        <v>1</v>
      </c>
    </row>
    <row r="10" spans="1:5" ht="17.25" customHeight="1" x14ac:dyDescent="0.2">
      <c r="A10" s="18">
        <v>2</v>
      </c>
      <c r="B10" s="19" t="s">
        <v>30</v>
      </c>
      <c r="C10" s="17">
        <v>434</v>
      </c>
      <c r="D10" s="17">
        <v>425</v>
      </c>
      <c r="E10" s="17">
        <f t="shared" si="0"/>
        <v>-9</v>
      </c>
    </row>
    <row r="11" spans="1:5" ht="17.25" customHeight="1" x14ac:dyDescent="0.2">
      <c r="A11" s="18">
        <v>3</v>
      </c>
      <c r="B11" s="19" t="s">
        <v>30</v>
      </c>
      <c r="C11" s="17">
        <v>836</v>
      </c>
      <c r="D11" s="17">
        <v>833</v>
      </c>
      <c r="E11" s="17">
        <f t="shared" si="0"/>
        <v>-3</v>
      </c>
    </row>
    <row r="12" spans="1:5" ht="17.25" customHeight="1" x14ac:dyDescent="0.2">
      <c r="A12" s="18">
        <v>4</v>
      </c>
      <c r="B12" s="19" t="s">
        <v>30</v>
      </c>
      <c r="C12" s="17">
        <v>503</v>
      </c>
      <c r="D12" s="17">
        <v>486</v>
      </c>
      <c r="E12" s="17">
        <f t="shared" si="0"/>
        <v>-17</v>
      </c>
    </row>
    <row r="13" spans="1:5" ht="17.25" customHeight="1" x14ac:dyDescent="0.2">
      <c r="A13" s="18">
        <v>5</v>
      </c>
      <c r="B13" s="19" t="s">
        <v>30</v>
      </c>
      <c r="C13" s="17">
        <v>414</v>
      </c>
      <c r="D13" s="17">
        <v>414</v>
      </c>
      <c r="E13" s="17">
        <f t="shared" si="0"/>
        <v>0</v>
      </c>
    </row>
    <row r="14" spans="1:5" ht="17.25" customHeight="1" x14ac:dyDescent="0.2">
      <c r="A14" s="18">
        <v>6</v>
      </c>
      <c r="B14" s="19" t="s">
        <v>30</v>
      </c>
      <c r="C14" s="17">
        <v>511</v>
      </c>
      <c r="D14" s="17">
        <v>490</v>
      </c>
      <c r="E14" s="17">
        <f t="shared" si="0"/>
        <v>-21</v>
      </c>
    </row>
    <row r="15" spans="1:5" ht="17.25" customHeight="1" x14ac:dyDescent="0.2">
      <c r="A15" s="18">
        <v>7</v>
      </c>
      <c r="B15" s="19" t="s">
        <v>30</v>
      </c>
      <c r="C15" s="17">
        <v>192</v>
      </c>
      <c r="D15" s="17">
        <v>194</v>
      </c>
      <c r="E15" s="17">
        <f t="shared" si="0"/>
        <v>2</v>
      </c>
    </row>
    <row r="16" spans="1:5" ht="17.25" customHeight="1" x14ac:dyDescent="0.2">
      <c r="A16" s="15">
        <v>1</v>
      </c>
      <c r="B16" s="16" t="s">
        <v>31</v>
      </c>
      <c r="C16" s="17">
        <v>585</v>
      </c>
      <c r="D16" s="17">
        <v>542</v>
      </c>
      <c r="E16" s="17">
        <f t="shared" si="0"/>
        <v>-43</v>
      </c>
    </row>
    <row r="17" spans="1:8" ht="17.25" customHeight="1" x14ac:dyDescent="0.2">
      <c r="A17" s="18">
        <v>2</v>
      </c>
      <c r="B17" s="19" t="s">
        <v>31</v>
      </c>
      <c r="C17" s="17">
        <v>387</v>
      </c>
      <c r="D17" s="17">
        <v>357</v>
      </c>
      <c r="E17" s="17">
        <f t="shared" si="0"/>
        <v>-30</v>
      </c>
    </row>
    <row r="18" spans="1:8" ht="17.25" customHeight="1" x14ac:dyDescent="0.2">
      <c r="A18" s="18">
        <v>3</v>
      </c>
      <c r="B18" s="19" t="s">
        <v>31</v>
      </c>
      <c r="C18" s="17">
        <v>719</v>
      </c>
      <c r="D18" s="17">
        <v>728</v>
      </c>
      <c r="E18" s="17">
        <f t="shared" si="0"/>
        <v>9</v>
      </c>
    </row>
    <row r="19" spans="1:8" ht="17.25" customHeight="1" x14ac:dyDescent="0.2">
      <c r="A19" s="18">
        <v>4</v>
      </c>
      <c r="B19" s="19" t="s">
        <v>31</v>
      </c>
      <c r="C19" s="17">
        <v>487</v>
      </c>
      <c r="D19" s="17">
        <v>441</v>
      </c>
      <c r="E19" s="17">
        <f t="shared" si="0"/>
        <v>-46</v>
      </c>
    </row>
    <row r="20" spans="1:8" ht="17.25" customHeight="1" x14ac:dyDescent="0.2">
      <c r="A20" s="18">
        <v>5</v>
      </c>
      <c r="B20" s="19" t="s">
        <v>31</v>
      </c>
      <c r="C20" s="17">
        <v>402</v>
      </c>
      <c r="D20" s="17">
        <v>398</v>
      </c>
      <c r="E20" s="17">
        <f t="shared" si="0"/>
        <v>-4</v>
      </c>
    </row>
    <row r="21" spans="1:8" ht="17.25" customHeight="1" x14ac:dyDescent="0.2">
      <c r="A21" s="18">
        <v>6</v>
      </c>
      <c r="B21" s="19" t="s">
        <v>31</v>
      </c>
      <c r="C21" s="17">
        <v>447</v>
      </c>
      <c r="D21" s="17">
        <v>429</v>
      </c>
      <c r="E21" s="17">
        <f t="shared" si="0"/>
        <v>-18</v>
      </c>
    </row>
    <row r="22" spans="1:8" ht="17.25" customHeight="1" x14ac:dyDescent="0.2">
      <c r="A22" s="18">
        <v>7</v>
      </c>
      <c r="B22" s="19" t="s">
        <v>31</v>
      </c>
      <c r="C22" s="17">
        <v>187</v>
      </c>
      <c r="D22" s="17">
        <v>185</v>
      </c>
      <c r="E22" s="17">
        <f t="shared" si="0"/>
        <v>-2</v>
      </c>
    </row>
    <row r="23" spans="1:8" ht="17.25" customHeight="1" x14ac:dyDescent="0.2">
      <c r="A23" s="20">
        <v>1</v>
      </c>
      <c r="B23" s="21" t="s">
        <v>36</v>
      </c>
      <c r="C23" s="17">
        <v>26</v>
      </c>
      <c r="D23" s="17">
        <v>76</v>
      </c>
      <c r="E23" s="17">
        <f t="shared" si="0"/>
        <v>50</v>
      </c>
    </row>
    <row r="24" spans="1:8" ht="17.25" customHeight="1" x14ac:dyDescent="0.2">
      <c r="A24" s="18">
        <v>2</v>
      </c>
      <c r="B24" s="19" t="s">
        <v>36</v>
      </c>
      <c r="C24" s="17">
        <v>68</v>
      </c>
      <c r="D24" s="17">
        <v>82</v>
      </c>
      <c r="E24" s="17">
        <f t="shared" si="0"/>
        <v>14</v>
      </c>
    </row>
    <row r="25" spans="1:8" ht="17.25" customHeight="1" x14ac:dyDescent="0.2">
      <c r="A25" s="18">
        <v>3</v>
      </c>
      <c r="B25" s="19" t="s">
        <v>36</v>
      </c>
      <c r="C25" s="17">
        <v>187</v>
      </c>
      <c r="D25" s="17">
        <v>203</v>
      </c>
      <c r="E25" s="17">
        <f t="shared" si="0"/>
        <v>16</v>
      </c>
    </row>
    <row r="26" spans="1:8" ht="20.25" customHeight="1" x14ac:dyDescent="0.2">
      <c r="A26" s="18">
        <v>4</v>
      </c>
      <c r="B26" s="19" t="s">
        <v>36</v>
      </c>
      <c r="C26" s="17">
        <v>53</v>
      </c>
      <c r="D26" s="17">
        <v>101</v>
      </c>
      <c r="E26" s="17">
        <f t="shared" si="0"/>
        <v>48</v>
      </c>
    </row>
    <row r="27" spans="1:8" ht="20.25" customHeight="1" x14ac:dyDescent="0.2">
      <c r="A27" s="18">
        <v>5</v>
      </c>
      <c r="B27" s="19" t="s">
        <v>36</v>
      </c>
      <c r="C27" s="17">
        <v>23</v>
      </c>
      <c r="D27" s="17">
        <v>25</v>
      </c>
      <c r="E27" s="17">
        <f t="shared" si="0"/>
        <v>2</v>
      </c>
    </row>
    <row r="28" spans="1:8" ht="20.25" customHeight="1" x14ac:dyDescent="0.2">
      <c r="A28" s="18">
        <v>6</v>
      </c>
      <c r="B28" s="19" t="s">
        <v>36</v>
      </c>
      <c r="C28" s="17">
        <v>112</v>
      </c>
      <c r="D28" s="17">
        <v>97</v>
      </c>
      <c r="E28" s="17">
        <f t="shared" si="0"/>
        <v>-15</v>
      </c>
    </row>
    <row r="29" spans="1:8" ht="20.25" customHeight="1" x14ac:dyDescent="0.2">
      <c r="A29" s="18">
        <v>7</v>
      </c>
      <c r="B29" s="19" t="s">
        <v>36</v>
      </c>
      <c r="C29" s="17">
        <v>9</v>
      </c>
      <c r="D29" s="17">
        <v>11</v>
      </c>
      <c r="E29" s="17">
        <f t="shared" si="0"/>
        <v>2</v>
      </c>
    </row>
    <row r="30" spans="1:8" ht="20.25" customHeight="1" x14ac:dyDescent="0.2">
      <c r="A30" s="20">
        <v>1</v>
      </c>
      <c r="B30" s="21" t="s">
        <v>37</v>
      </c>
      <c r="C30" s="27">
        <f>($C23/$C9)*100</f>
        <v>4.2622950819672125</v>
      </c>
      <c r="D30" s="27">
        <f>($D23/$D9)*100</f>
        <v>12.438625204582651</v>
      </c>
      <c r="E30" s="27">
        <f>D30-C30</f>
        <v>8.1763301226154397</v>
      </c>
    </row>
    <row r="31" spans="1:8" ht="20.25" customHeight="1" x14ac:dyDescent="0.2">
      <c r="A31" s="18">
        <v>2</v>
      </c>
      <c r="B31" s="19" t="s">
        <v>37</v>
      </c>
      <c r="C31" s="27">
        <f t="shared" ref="C31:C36" si="1">($C24/$C10)*100</f>
        <v>15.668202764976957</v>
      </c>
      <c r="D31" s="27">
        <f t="shared" ref="D31:D36" si="2">($D24/$D10)*100</f>
        <v>19.294117647058822</v>
      </c>
      <c r="E31" s="27">
        <f t="shared" ref="E31:E36" si="3">D31-C31</f>
        <v>3.6259148820818652</v>
      </c>
      <c r="H31" s="3"/>
    </row>
    <row r="32" spans="1:8" ht="20.25" customHeight="1" x14ac:dyDescent="0.2">
      <c r="A32" s="18">
        <v>3</v>
      </c>
      <c r="B32" s="19" t="s">
        <v>37</v>
      </c>
      <c r="C32" s="27">
        <f t="shared" si="1"/>
        <v>22.368421052631579</v>
      </c>
      <c r="D32" s="27">
        <f t="shared" si="2"/>
        <v>24.369747899159663</v>
      </c>
      <c r="E32" s="27">
        <f t="shared" si="3"/>
        <v>2.0013268465280838</v>
      </c>
    </row>
    <row r="33" spans="1:5" ht="20.25" customHeight="1" x14ac:dyDescent="0.2">
      <c r="A33" s="18">
        <v>4</v>
      </c>
      <c r="B33" s="19" t="s">
        <v>37</v>
      </c>
      <c r="C33" s="27">
        <f t="shared" si="1"/>
        <v>10.536779324055665</v>
      </c>
      <c r="D33" s="27">
        <f t="shared" si="2"/>
        <v>20.781893004115226</v>
      </c>
      <c r="E33" s="27">
        <f t="shared" si="3"/>
        <v>10.245113680059561</v>
      </c>
    </row>
    <row r="34" spans="1:5" ht="20.25" customHeight="1" x14ac:dyDescent="0.2">
      <c r="A34" s="18">
        <v>5</v>
      </c>
      <c r="B34" s="19" t="s">
        <v>37</v>
      </c>
      <c r="C34" s="27">
        <f t="shared" si="1"/>
        <v>5.5555555555555554</v>
      </c>
      <c r="D34" s="27">
        <f t="shared" si="2"/>
        <v>6.0386473429951693</v>
      </c>
      <c r="E34" s="27">
        <f t="shared" si="3"/>
        <v>0.4830917874396139</v>
      </c>
    </row>
    <row r="35" spans="1:5" ht="20.25" customHeight="1" x14ac:dyDescent="0.2">
      <c r="A35" s="18">
        <v>6</v>
      </c>
      <c r="B35" s="19" t="s">
        <v>37</v>
      </c>
      <c r="C35" s="27">
        <f t="shared" si="1"/>
        <v>21.917808219178081</v>
      </c>
      <c r="D35" s="27">
        <f t="shared" si="2"/>
        <v>19.795918367346939</v>
      </c>
      <c r="E35" s="27">
        <f t="shared" si="3"/>
        <v>-2.121889851831142</v>
      </c>
    </row>
    <row r="36" spans="1:5" ht="20.25" customHeight="1" x14ac:dyDescent="0.2">
      <c r="A36" s="18">
        <v>7</v>
      </c>
      <c r="B36" s="19" t="s">
        <v>37</v>
      </c>
      <c r="C36" s="27">
        <f t="shared" si="1"/>
        <v>4.6875</v>
      </c>
      <c r="D36" s="27">
        <f t="shared" si="2"/>
        <v>5.6701030927835054</v>
      </c>
      <c r="E36" s="27">
        <f t="shared" si="3"/>
        <v>0.98260309278350544</v>
      </c>
    </row>
    <row r="37" spans="1:5" ht="20.25" customHeight="1" x14ac:dyDescent="0.2">
      <c r="A37" s="20">
        <v>1</v>
      </c>
      <c r="B37" s="22" t="s">
        <v>34</v>
      </c>
      <c r="C37" s="17">
        <v>26</v>
      </c>
      <c r="D37" s="17">
        <v>72</v>
      </c>
      <c r="E37" s="17">
        <f t="shared" ref="E37:E43" si="4">D37-C37</f>
        <v>46</v>
      </c>
    </row>
    <row r="38" spans="1:5" ht="20.25" customHeight="1" x14ac:dyDescent="0.2">
      <c r="A38" s="18">
        <v>2</v>
      </c>
      <c r="B38" s="23" t="s">
        <v>34</v>
      </c>
      <c r="C38" s="17">
        <v>60</v>
      </c>
      <c r="D38" s="17">
        <v>70</v>
      </c>
      <c r="E38" s="17">
        <f t="shared" si="4"/>
        <v>10</v>
      </c>
    </row>
    <row r="39" spans="1:5" ht="20.25" customHeight="1" x14ac:dyDescent="0.2">
      <c r="A39" s="18">
        <v>3</v>
      </c>
      <c r="B39" s="23" t="s">
        <v>34</v>
      </c>
      <c r="C39" s="17">
        <v>171</v>
      </c>
      <c r="D39" s="17">
        <v>190</v>
      </c>
      <c r="E39" s="17">
        <f t="shared" si="4"/>
        <v>19</v>
      </c>
    </row>
    <row r="40" spans="1:5" ht="20.25" customHeight="1" x14ac:dyDescent="0.2">
      <c r="A40" s="18">
        <v>4</v>
      </c>
      <c r="B40" s="23" t="s">
        <v>34</v>
      </c>
      <c r="C40" s="17">
        <v>49</v>
      </c>
      <c r="D40" s="17">
        <v>97</v>
      </c>
      <c r="E40" s="17">
        <f t="shared" si="4"/>
        <v>48</v>
      </c>
    </row>
    <row r="41" spans="1:5" ht="20.25" customHeight="1" x14ac:dyDescent="0.2">
      <c r="A41" s="18">
        <v>5</v>
      </c>
      <c r="B41" s="23" t="s">
        <v>34</v>
      </c>
      <c r="C41" s="17">
        <v>16</v>
      </c>
      <c r="D41" s="17">
        <v>22</v>
      </c>
      <c r="E41" s="17">
        <f t="shared" si="4"/>
        <v>6</v>
      </c>
    </row>
    <row r="42" spans="1:5" ht="20.25" customHeight="1" x14ac:dyDescent="0.2">
      <c r="A42" s="18">
        <v>6</v>
      </c>
      <c r="B42" s="23" t="s">
        <v>34</v>
      </c>
      <c r="C42" s="17">
        <v>93</v>
      </c>
      <c r="D42" s="17">
        <v>80</v>
      </c>
      <c r="E42" s="17">
        <f t="shared" si="4"/>
        <v>-13</v>
      </c>
    </row>
    <row r="43" spans="1:5" ht="20.25" customHeight="1" x14ac:dyDescent="0.2">
      <c r="A43" s="18">
        <v>7</v>
      </c>
      <c r="B43" s="23" t="s">
        <v>34</v>
      </c>
      <c r="C43" s="17">
        <v>7</v>
      </c>
      <c r="D43" s="17">
        <v>8</v>
      </c>
      <c r="E43" s="17">
        <f t="shared" si="4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outlinePr summaryBelow="0"/>
  </sheetPr>
  <dimension ref="A1:R31"/>
  <sheetViews>
    <sheetView workbookViewId="0">
      <selection activeCell="H7" sqref="H7"/>
    </sheetView>
  </sheetViews>
  <sheetFormatPr baseColWidth="10" defaultColWidth="8.83203125" defaultRowHeight="15" x14ac:dyDescent="0.2"/>
  <cols>
    <col min="1" max="1" width="5.1640625" style="11" bestFit="1" customWidth="1"/>
    <col min="2" max="2" width="22.1640625" style="12" bestFit="1" customWidth="1"/>
    <col min="3" max="3" width="18.33203125" style="13" bestFit="1" customWidth="1"/>
    <col min="4" max="5" width="5.83203125" style="14" bestFit="1" customWidth="1"/>
    <col min="6" max="6" width="6.1640625" style="13" bestFit="1" customWidth="1"/>
    <col min="7" max="8" width="5.83203125" bestFit="1" customWidth="1"/>
    <col min="9" max="9" width="5.6640625" bestFit="1" customWidth="1"/>
    <col min="10" max="11" width="5.83203125" bestFit="1" customWidth="1"/>
    <col min="12" max="12" width="5.6640625" bestFit="1" customWidth="1"/>
    <col min="13" max="14" width="5.83203125" bestFit="1" customWidth="1"/>
    <col min="15" max="15" width="5.6640625" bestFit="1" customWidth="1"/>
    <col min="16" max="17" width="5.83203125" bestFit="1" customWidth="1"/>
    <col min="18" max="18" width="5.6640625" bestFit="1" customWidth="1"/>
  </cols>
  <sheetData>
    <row r="1" spans="1:18" ht="17.25" customHeight="1" x14ac:dyDescent="0.2">
      <c r="A1" s="5" t="s">
        <v>21</v>
      </c>
      <c r="B1" s="6" t="s">
        <v>0</v>
      </c>
      <c r="C1" s="6" t="s">
        <v>22</v>
      </c>
      <c r="D1" s="5" t="s">
        <v>23</v>
      </c>
      <c r="E1" s="5" t="s">
        <v>24</v>
      </c>
      <c r="F1" s="6" t="s">
        <v>25</v>
      </c>
    </row>
    <row r="2" spans="1:18" ht="17.25" customHeight="1" x14ac:dyDescent="0.2">
      <c r="A2" s="7">
        <v>1</v>
      </c>
      <c r="B2" s="8" t="s">
        <v>16</v>
      </c>
      <c r="C2" s="9" t="s">
        <v>26</v>
      </c>
      <c r="D2" s="10">
        <v>44</v>
      </c>
      <c r="E2" s="10">
        <v>46</v>
      </c>
      <c r="F2" s="10">
        <f t="shared" ref="F2:F21" si="0">E2-D2</f>
        <v>2</v>
      </c>
    </row>
    <row r="3" spans="1:18" ht="17.25" customHeight="1" x14ac:dyDescent="0.2">
      <c r="A3" s="7">
        <v>2</v>
      </c>
      <c r="B3" s="8" t="s">
        <v>27</v>
      </c>
      <c r="C3" s="9" t="s">
        <v>26</v>
      </c>
      <c r="D3" s="10">
        <v>40</v>
      </c>
      <c r="E3" s="10">
        <v>39</v>
      </c>
      <c r="F3" s="10">
        <f t="shared" si="0"/>
        <v>-1</v>
      </c>
      <c r="P3" s="3"/>
      <c r="Q3" s="3"/>
      <c r="R3" s="3"/>
    </row>
    <row r="4" spans="1:18" ht="17.25" customHeight="1" x14ac:dyDescent="0.2">
      <c r="A4" s="7">
        <v>3</v>
      </c>
      <c r="B4" s="8" t="s">
        <v>28</v>
      </c>
      <c r="C4" s="9" t="s">
        <v>26</v>
      </c>
      <c r="D4" s="10">
        <v>33</v>
      </c>
      <c r="E4" s="10">
        <v>35</v>
      </c>
      <c r="F4" s="10">
        <f t="shared" si="0"/>
        <v>2</v>
      </c>
      <c r="P4" s="3"/>
      <c r="Q4" s="3"/>
      <c r="R4" s="3"/>
    </row>
    <row r="5" spans="1:18" ht="17.25" customHeight="1" x14ac:dyDescent="0.2">
      <c r="A5" s="7">
        <v>4</v>
      </c>
      <c r="B5" s="8" t="s">
        <v>29</v>
      </c>
      <c r="C5" s="9" t="s">
        <v>26</v>
      </c>
      <c r="D5" s="10">
        <v>30</v>
      </c>
      <c r="E5" s="10">
        <v>29</v>
      </c>
      <c r="F5" s="10">
        <f t="shared" si="0"/>
        <v>-1</v>
      </c>
      <c r="P5" s="3"/>
      <c r="Q5" s="3"/>
      <c r="R5" s="3"/>
    </row>
    <row r="6" spans="1:18" ht="17.25" customHeight="1" x14ac:dyDescent="0.2">
      <c r="A6" s="7">
        <v>4</v>
      </c>
      <c r="B6" s="8" t="s">
        <v>17</v>
      </c>
      <c r="C6" s="9" t="s">
        <v>26</v>
      </c>
      <c r="D6" s="10">
        <v>35</v>
      </c>
      <c r="E6" s="10">
        <v>35</v>
      </c>
      <c r="F6" s="10">
        <f t="shared" si="0"/>
        <v>0</v>
      </c>
      <c r="P6" s="3"/>
      <c r="Q6" s="3"/>
      <c r="R6" s="3"/>
    </row>
    <row r="7" spans="1:18" ht="17.25" customHeight="1" x14ac:dyDescent="0.2">
      <c r="A7" s="7">
        <v>1</v>
      </c>
      <c r="B7" s="8" t="s">
        <v>16</v>
      </c>
      <c r="C7" s="9" t="s">
        <v>30</v>
      </c>
      <c r="D7" s="10">
        <v>48</v>
      </c>
      <c r="E7" s="10">
        <v>47</v>
      </c>
      <c r="F7" s="10">
        <f t="shared" si="0"/>
        <v>-1</v>
      </c>
      <c r="P7" s="3"/>
      <c r="Q7" s="3"/>
      <c r="R7" s="3"/>
    </row>
    <row r="8" spans="1:18" ht="17.25" customHeight="1" x14ac:dyDescent="0.2">
      <c r="A8" s="7">
        <v>2</v>
      </c>
      <c r="B8" s="8" t="s">
        <v>27</v>
      </c>
      <c r="C8" s="9" t="s">
        <v>30</v>
      </c>
      <c r="D8" s="10">
        <v>45</v>
      </c>
      <c r="E8" s="10">
        <v>45</v>
      </c>
      <c r="F8" s="10">
        <f t="shared" si="0"/>
        <v>0</v>
      </c>
    </row>
    <row r="9" spans="1:18" ht="17.25" customHeight="1" x14ac:dyDescent="0.2">
      <c r="A9" s="7">
        <v>3</v>
      </c>
      <c r="B9" s="8" t="s">
        <v>28</v>
      </c>
      <c r="C9" s="9" t="s">
        <v>30</v>
      </c>
      <c r="D9" s="10">
        <v>48</v>
      </c>
      <c r="E9" s="10">
        <v>43</v>
      </c>
      <c r="F9" s="10">
        <f t="shared" si="0"/>
        <v>-5</v>
      </c>
    </row>
    <row r="10" spans="1:18" ht="17.25" customHeight="1" x14ac:dyDescent="0.2">
      <c r="A10" s="7">
        <v>4</v>
      </c>
      <c r="B10" s="8" t="s">
        <v>29</v>
      </c>
      <c r="C10" s="9" t="s">
        <v>30</v>
      </c>
      <c r="D10" s="10">
        <v>38</v>
      </c>
      <c r="E10" s="10">
        <v>34</v>
      </c>
      <c r="F10" s="10">
        <f t="shared" si="0"/>
        <v>-4</v>
      </c>
    </row>
    <row r="11" spans="1:18" ht="17.25" customHeight="1" x14ac:dyDescent="0.2">
      <c r="A11" s="7">
        <v>4</v>
      </c>
      <c r="B11" s="8" t="s">
        <v>17</v>
      </c>
      <c r="C11" s="9" t="s">
        <v>30</v>
      </c>
      <c r="D11" s="10">
        <v>45</v>
      </c>
      <c r="E11" s="10">
        <v>36</v>
      </c>
      <c r="F11" s="10">
        <f t="shared" si="0"/>
        <v>-9</v>
      </c>
    </row>
    <row r="12" spans="1:18" ht="17.25" customHeight="1" x14ac:dyDescent="0.2">
      <c r="A12" s="7">
        <v>1</v>
      </c>
      <c r="B12" s="8" t="s">
        <v>16</v>
      </c>
      <c r="C12" s="9" t="s">
        <v>31</v>
      </c>
      <c r="D12" s="10">
        <v>41</v>
      </c>
      <c r="E12" s="10">
        <v>6</v>
      </c>
      <c r="F12" s="10">
        <f t="shared" si="0"/>
        <v>-35</v>
      </c>
    </row>
    <row r="13" spans="1:18" ht="17.25" customHeight="1" x14ac:dyDescent="0.2">
      <c r="A13" s="7">
        <v>2</v>
      </c>
      <c r="B13" s="8" t="s">
        <v>27</v>
      </c>
      <c r="C13" s="9" t="s">
        <v>31</v>
      </c>
      <c r="D13" s="10">
        <v>40</v>
      </c>
      <c r="E13" s="10">
        <v>33</v>
      </c>
      <c r="F13" s="10">
        <f t="shared" si="0"/>
        <v>-7</v>
      </c>
    </row>
    <row r="14" spans="1:18" ht="17.25" customHeight="1" x14ac:dyDescent="0.2">
      <c r="A14" s="7">
        <v>3</v>
      </c>
      <c r="B14" s="8" t="s">
        <v>28</v>
      </c>
      <c r="C14" s="9" t="s">
        <v>31</v>
      </c>
      <c r="D14" s="10">
        <v>44</v>
      </c>
      <c r="E14" s="10">
        <v>39</v>
      </c>
      <c r="F14" s="10">
        <f t="shared" si="0"/>
        <v>-5</v>
      </c>
    </row>
    <row r="15" spans="1:18" ht="17.25" customHeight="1" x14ac:dyDescent="0.2">
      <c r="A15" s="7">
        <v>4</v>
      </c>
      <c r="B15" s="8" t="s">
        <v>29</v>
      </c>
      <c r="C15" s="9" t="s">
        <v>31</v>
      </c>
      <c r="D15" s="10">
        <v>38</v>
      </c>
      <c r="E15" s="10">
        <v>19</v>
      </c>
      <c r="F15" s="10">
        <f t="shared" si="0"/>
        <v>-19</v>
      </c>
    </row>
    <row r="16" spans="1:18" ht="17.25" customHeight="1" x14ac:dyDescent="0.2">
      <c r="A16" s="7">
        <v>4</v>
      </c>
      <c r="B16" s="8" t="s">
        <v>17</v>
      </c>
      <c r="C16" s="9" t="s">
        <v>31</v>
      </c>
      <c r="D16" s="10">
        <v>45</v>
      </c>
      <c r="E16" s="10">
        <v>27</v>
      </c>
      <c r="F16" s="10">
        <f t="shared" si="0"/>
        <v>-18</v>
      </c>
    </row>
    <row r="17" spans="1:6" ht="17.25" customHeight="1" x14ac:dyDescent="0.2">
      <c r="A17" s="7">
        <v>1</v>
      </c>
      <c r="B17" s="8" t="s">
        <v>16</v>
      </c>
      <c r="C17" s="9" t="s">
        <v>32</v>
      </c>
      <c r="D17" s="10">
        <v>0</v>
      </c>
      <c r="E17" s="10">
        <v>46</v>
      </c>
      <c r="F17" s="10">
        <f t="shared" si="0"/>
        <v>46</v>
      </c>
    </row>
    <row r="18" spans="1:6" ht="17.25" customHeight="1" x14ac:dyDescent="0.2">
      <c r="A18" s="7">
        <v>2</v>
      </c>
      <c r="B18" s="8" t="s">
        <v>27</v>
      </c>
      <c r="C18" s="9" t="s">
        <v>32</v>
      </c>
      <c r="D18" s="10">
        <v>7</v>
      </c>
      <c r="E18" s="10">
        <v>18</v>
      </c>
      <c r="F18" s="10">
        <f t="shared" si="0"/>
        <v>11</v>
      </c>
    </row>
    <row r="19" spans="1:6" ht="17.25" customHeight="1" x14ac:dyDescent="0.2">
      <c r="A19" s="7">
        <v>3</v>
      </c>
      <c r="B19" s="8" t="s">
        <v>28</v>
      </c>
      <c r="C19" s="9" t="s">
        <v>32</v>
      </c>
      <c r="D19" s="10">
        <v>10</v>
      </c>
      <c r="E19" s="10">
        <v>20</v>
      </c>
      <c r="F19" s="10">
        <f t="shared" si="0"/>
        <v>10</v>
      </c>
    </row>
    <row r="20" spans="1:6" ht="17.25" customHeight="1" x14ac:dyDescent="0.2">
      <c r="A20" s="7">
        <v>4</v>
      </c>
      <c r="B20" s="8" t="s">
        <v>29</v>
      </c>
      <c r="C20" s="9" t="s">
        <v>32</v>
      </c>
      <c r="D20" s="10">
        <v>0</v>
      </c>
      <c r="E20" s="10">
        <v>27</v>
      </c>
      <c r="F20" s="10">
        <f t="shared" si="0"/>
        <v>27</v>
      </c>
    </row>
    <row r="21" spans="1:6" ht="17.25" customHeight="1" x14ac:dyDescent="0.2">
      <c r="A21" s="7">
        <v>4</v>
      </c>
      <c r="B21" s="8" t="s">
        <v>17</v>
      </c>
      <c r="C21" s="9" t="s">
        <v>32</v>
      </c>
      <c r="D21" s="10">
        <v>0</v>
      </c>
      <c r="E21" s="10">
        <v>16</v>
      </c>
      <c r="F21" s="10">
        <f t="shared" si="0"/>
        <v>16</v>
      </c>
    </row>
    <row r="22" spans="1:6" ht="17.25" customHeight="1" x14ac:dyDescent="0.2">
      <c r="A22" s="7">
        <v>1</v>
      </c>
      <c r="B22" s="8" t="s">
        <v>16</v>
      </c>
      <c r="C22" s="9" t="s">
        <v>33</v>
      </c>
      <c r="D22" s="26">
        <f>($D17/$D7)*100</f>
        <v>0</v>
      </c>
      <c r="E22" s="26">
        <f>($E17/$E7)*100</f>
        <v>97.872340425531917</v>
      </c>
      <c r="F22" s="26">
        <f>D22-E22</f>
        <v>-97.872340425531917</v>
      </c>
    </row>
    <row r="23" spans="1:6" ht="17.25" customHeight="1" x14ac:dyDescent="0.2">
      <c r="A23" s="7">
        <v>2</v>
      </c>
      <c r="B23" s="8" t="s">
        <v>27</v>
      </c>
      <c r="C23" s="9" t="s">
        <v>33</v>
      </c>
      <c r="D23" s="26">
        <f t="shared" ref="D23:D26" si="1">($D18/$D8)*100</f>
        <v>15.555555555555555</v>
      </c>
      <c r="E23" s="26">
        <f t="shared" ref="E23:E26" si="2">($E18/$E8)*100</f>
        <v>40</v>
      </c>
      <c r="F23" s="26">
        <f>D23-E23</f>
        <v>-24.444444444444443</v>
      </c>
    </row>
    <row r="24" spans="1:6" ht="17.25" customHeight="1" x14ac:dyDescent="0.2">
      <c r="A24" s="7">
        <v>3</v>
      </c>
      <c r="B24" s="8" t="s">
        <v>28</v>
      </c>
      <c r="C24" s="9" t="s">
        <v>33</v>
      </c>
      <c r="D24" s="26">
        <f t="shared" si="1"/>
        <v>20.833333333333336</v>
      </c>
      <c r="E24" s="26">
        <f t="shared" si="2"/>
        <v>46.511627906976742</v>
      </c>
      <c r="F24" s="26">
        <f>D24-E24</f>
        <v>-25.678294573643406</v>
      </c>
    </row>
    <row r="25" spans="1:6" ht="17.25" customHeight="1" x14ac:dyDescent="0.2">
      <c r="A25" s="7">
        <v>4</v>
      </c>
      <c r="B25" s="8" t="s">
        <v>29</v>
      </c>
      <c r="C25" s="9" t="s">
        <v>33</v>
      </c>
      <c r="D25" s="26">
        <f t="shared" si="1"/>
        <v>0</v>
      </c>
      <c r="E25" s="26">
        <f t="shared" si="2"/>
        <v>79.411764705882348</v>
      </c>
      <c r="F25" s="26">
        <f>D25-E25</f>
        <v>-79.411764705882348</v>
      </c>
    </row>
    <row r="26" spans="1:6" ht="17.25" customHeight="1" x14ac:dyDescent="0.2">
      <c r="A26" s="7">
        <v>4</v>
      </c>
      <c r="B26" s="8" t="s">
        <v>17</v>
      </c>
      <c r="C26" s="9" t="s">
        <v>33</v>
      </c>
      <c r="D26" s="26">
        <f t="shared" si="1"/>
        <v>0</v>
      </c>
      <c r="E26" s="26">
        <f t="shared" si="2"/>
        <v>44.444444444444443</v>
      </c>
      <c r="F26" s="26">
        <f>D26-E26</f>
        <v>-44.444444444444443</v>
      </c>
    </row>
    <row r="27" spans="1:6" ht="17.25" customHeight="1" x14ac:dyDescent="0.2">
      <c r="A27" s="7">
        <v>1</v>
      </c>
      <c r="B27" s="8" t="s">
        <v>16</v>
      </c>
      <c r="C27" s="9" t="s">
        <v>34</v>
      </c>
      <c r="D27" s="10">
        <v>0</v>
      </c>
      <c r="E27" s="10">
        <v>45</v>
      </c>
      <c r="F27" s="10">
        <f>E27-D27</f>
        <v>45</v>
      </c>
    </row>
    <row r="28" spans="1:6" ht="17.25" customHeight="1" x14ac:dyDescent="0.2">
      <c r="A28" s="7">
        <v>2</v>
      </c>
      <c r="B28" s="8" t="s">
        <v>27</v>
      </c>
      <c r="C28" s="9" t="s">
        <v>34</v>
      </c>
      <c r="D28" s="10">
        <v>5</v>
      </c>
      <c r="E28" s="10">
        <v>14</v>
      </c>
      <c r="F28" s="10">
        <f>E28-D28</f>
        <v>9</v>
      </c>
    </row>
    <row r="29" spans="1:6" ht="17.25" customHeight="1" x14ac:dyDescent="0.2">
      <c r="A29" s="7">
        <v>3</v>
      </c>
      <c r="B29" s="8" t="s">
        <v>28</v>
      </c>
      <c r="C29" s="9" t="s">
        <v>34</v>
      </c>
      <c r="D29" s="10">
        <v>8</v>
      </c>
      <c r="E29" s="10">
        <v>19</v>
      </c>
      <c r="F29" s="10">
        <f>E29-D29</f>
        <v>11</v>
      </c>
    </row>
    <row r="30" spans="1:6" ht="17.25" customHeight="1" x14ac:dyDescent="0.2">
      <c r="A30" s="7">
        <v>4</v>
      </c>
      <c r="B30" s="8" t="s">
        <v>29</v>
      </c>
      <c r="C30" s="9" t="s">
        <v>34</v>
      </c>
      <c r="D30" s="10">
        <v>0</v>
      </c>
      <c r="E30" s="10">
        <v>27</v>
      </c>
      <c r="F30" s="10">
        <f>E30-D30</f>
        <v>27</v>
      </c>
    </row>
    <row r="31" spans="1:6" ht="17.25" customHeight="1" x14ac:dyDescent="0.2">
      <c r="A31" s="7">
        <v>4</v>
      </c>
      <c r="B31" s="8" t="s">
        <v>17</v>
      </c>
      <c r="C31" s="9" t="s">
        <v>34</v>
      </c>
      <c r="D31" s="10">
        <v>0</v>
      </c>
      <c r="E31" s="10">
        <v>16</v>
      </c>
      <c r="F31" s="10">
        <f>E31-D31</f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outlinePr summaryBelow="0"/>
  </sheetPr>
  <dimension ref="A1:D4"/>
  <sheetViews>
    <sheetView workbookViewId="0">
      <selection activeCell="E2" sqref="E2"/>
    </sheetView>
  </sheetViews>
  <sheetFormatPr baseColWidth="10" defaultColWidth="8.83203125" defaultRowHeight="15" x14ac:dyDescent="0.2"/>
  <cols>
    <col min="1" max="1" width="21.6640625" bestFit="1" customWidth="1"/>
    <col min="2" max="2" width="25.1640625" style="4" bestFit="1" customWidth="1"/>
    <col min="3" max="3" width="22.83203125" style="4" bestFit="1" customWidth="1"/>
    <col min="4" max="4" width="25.5" style="4" bestFit="1" customWidth="1"/>
  </cols>
  <sheetData>
    <row r="1" spans="1:4" ht="17.25" customHeight="1" x14ac:dyDescent="0.2">
      <c r="A1" s="1" t="s">
        <v>15</v>
      </c>
      <c r="B1" s="2" t="s">
        <v>39</v>
      </c>
      <c r="C1" s="2" t="s">
        <v>40</v>
      </c>
      <c r="D1" s="2" t="s">
        <v>41</v>
      </c>
    </row>
    <row r="2" spans="1:4" ht="17.25" customHeight="1" x14ac:dyDescent="0.2">
      <c r="A2" t="s">
        <v>18</v>
      </c>
      <c r="B2" s="9">
        <f>(0.489*100)</f>
        <v>48.9</v>
      </c>
      <c r="C2" s="9">
        <f>(0.682*100)</f>
        <v>68.2</v>
      </c>
      <c r="D2" s="9">
        <f>0.591*100</f>
        <v>59.099999999999994</v>
      </c>
    </row>
    <row r="3" spans="1:4" ht="17.25" customHeight="1" x14ac:dyDescent="0.2">
      <c r="A3" t="s">
        <v>19</v>
      </c>
      <c r="B3" s="9">
        <f>(0.333*100)</f>
        <v>33.300000000000004</v>
      </c>
      <c r="C3" s="9">
        <f>(0.182*100)</f>
        <v>18.2</v>
      </c>
      <c r="D3" s="9">
        <f>0.318*100</f>
        <v>31.8</v>
      </c>
    </row>
    <row r="4" spans="1:4" ht="17.25" customHeight="1" x14ac:dyDescent="0.2">
      <c r="A4" t="s">
        <v>20</v>
      </c>
      <c r="B4" s="9">
        <f>(0.178*100)</f>
        <v>17.8</v>
      </c>
      <c r="C4" s="9">
        <f>(0.136*100)</f>
        <v>13.600000000000001</v>
      </c>
      <c r="D4" s="9">
        <f>0.091*100</f>
        <v>9.1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outlinePr summaryBelow="0"/>
  </sheetPr>
  <dimension ref="A1:C23"/>
  <sheetViews>
    <sheetView workbookViewId="0">
      <selection activeCell="F9" sqref="F9"/>
    </sheetView>
  </sheetViews>
  <sheetFormatPr baseColWidth="10" defaultColWidth="8.83203125" defaultRowHeight="15" x14ac:dyDescent="0.2"/>
  <cols>
    <col min="1" max="1" width="11.6640625" bestFit="1" customWidth="1"/>
    <col min="2" max="2" width="17.83203125" bestFit="1" customWidth="1"/>
    <col min="3" max="3" width="13.1640625" style="4" bestFit="1" customWidth="1"/>
  </cols>
  <sheetData>
    <row r="1" spans="1:3" ht="17.25" customHeight="1" x14ac:dyDescent="0.2">
      <c r="A1" s="1" t="s">
        <v>0</v>
      </c>
      <c r="B1" s="1" t="s">
        <v>1</v>
      </c>
      <c r="C1" s="2" t="s">
        <v>38</v>
      </c>
    </row>
    <row r="2" spans="1:3" ht="17.25" customHeight="1" x14ac:dyDescent="0.2">
      <c r="A2" t="s">
        <v>2</v>
      </c>
      <c r="B2" s="13" t="s">
        <v>3</v>
      </c>
      <c r="C2" s="25">
        <v>13.6</v>
      </c>
    </row>
    <row r="3" spans="1:3" ht="17.25" customHeight="1" x14ac:dyDescent="0.2">
      <c r="A3" t="s">
        <v>2</v>
      </c>
      <c r="B3" s="13" t="s">
        <v>4</v>
      </c>
      <c r="C3" s="25">
        <v>18.2</v>
      </c>
    </row>
    <row r="4" spans="1:3" ht="17.25" customHeight="1" x14ac:dyDescent="0.2">
      <c r="A4" t="s">
        <v>2</v>
      </c>
      <c r="B4" s="13" t="s">
        <v>5</v>
      </c>
      <c r="C4" s="25">
        <v>4.5</v>
      </c>
    </row>
    <row r="5" spans="1:3" ht="17.25" customHeight="1" x14ac:dyDescent="0.2">
      <c r="A5" t="s">
        <v>2</v>
      </c>
      <c r="B5" s="13" t="s">
        <v>6</v>
      </c>
      <c r="C5" s="25">
        <v>4.5</v>
      </c>
    </row>
    <row r="6" spans="1:3" ht="17.25" customHeight="1" x14ac:dyDescent="0.2">
      <c r="A6" t="s">
        <v>2</v>
      </c>
      <c r="B6" s="13" t="s">
        <v>7</v>
      </c>
      <c r="C6" s="25">
        <v>18.2</v>
      </c>
    </row>
    <row r="7" spans="1:3" ht="17.25" customHeight="1" x14ac:dyDescent="0.2">
      <c r="A7" t="s">
        <v>2</v>
      </c>
      <c r="B7" s="13" t="s">
        <v>8</v>
      </c>
      <c r="C7" s="25">
        <v>13.6</v>
      </c>
    </row>
    <row r="8" spans="1:3" ht="17.25" customHeight="1" x14ac:dyDescent="0.2">
      <c r="A8" t="s">
        <v>2</v>
      </c>
      <c r="B8" s="13" t="s">
        <v>9</v>
      </c>
      <c r="C8" s="25">
        <v>27.3</v>
      </c>
    </row>
    <row r="9" spans="1:3" ht="17.25" customHeight="1" x14ac:dyDescent="0.2">
      <c r="A9" t="s">
        <v>10</v>
      </c>
      <c r="B9" s="13" t="s">
        <v>11</v>
      </c>
      <c r="C9" s="25">
        <v>6.7</v>
      </c>
    </row>
    <row r="10" spans="1:3" ht="17.25" customHeight="1" x14ac:dyDescent="0.2">
      <c r="A10" t="s">
        <v>10</v>
      </c>
      <c r="B10" s="13" t="s">
        <v>3</v>
      </c>
      <c r="C10" s="25">
        <v>11.1</v>
      </c>
    </row>
    <row r="11" spans="1:3" ht="17.25" customHeight="1" x14ac:dyDescent="0.2">
      <c r="A11" t="s">
        <v>10</v>
      </c>
      <c r="B11" s="13" t="s">
        <v>5</v>
      </c>
      <c r="C11" s="25">
        <v>11.1</v>
      </c>
    </row>
    <row r="12" spans="1:3" ht="17.25" customHeight="1" x14ac:dyDescent="0.2">
      <c r="A12" t="s">
        <v>10</v>
      </c>
      <c r="B12" s="13" t="s">
        <v>12</v>
      </c>
      <c r="C12" s="25">
        <v>13.3</v>
      </c>
    </row>
    <row r="13" spans="1:3" ht="17.25" customHeight="1" x14ac:dyDescent="0.2">
      <c r="A13" t="s">
        <v>10</v>
      </c>
      <c r="B13" s="13" t="s">
        <v>6</v>
      </c>
      <c r="C13" s="25">
        <v>11.1</v>
      </c>
    </row>
    <row r="14" spans="1:3" ht="17.25" customHeight="1" x14ac:dyDescent="0.2">
      <c r="A14" t="s">
        <v>10</v>
      </c>
      <c r="B14" s="13" t="s">
        <v>7</v>
      </c>
      <c r="C14" s="25">
        <v>6.7</v>
      </c>
    </row>
    <row r="15" spans="1:3" ht="17.25" customHeight="1" x14ac:dyDescent="0.2">
      <c r="A15" t="s">
        <v>10</v>
      </c>
      <c r="B15" s="13" t="s">
        <v>8</v>
      </c>
      <c r="C15" s="25">
        <v>17.8</v>
      </c>
    </row>
    <row r="16" spans="1:3" ht="17.25" customHeight="1" x14ac:dyDescent="0.2">
      <c r="A16" t="s">
        <v>10</v>
      </c>
      <c r="B16" s="13" t="s">
        <v>9</v>
      </c>
      <c r="C16" s="25">
        <v>28.9</v>
      </c>
    </row>
    <row r="17" spans="1:3" ht="17.25" customHeight="1" x14ac:dyDescent="0.2">
      <c r="A17" t="s">
        <v>13</v>
      </c>
      <c r="B17" s="13" t="s">
        <v>14</v>
      </c>
      <c r="C17" s="25">
        <v>7.7</v>
      </c>
    </row>
    <row r="18" spans="1:3" ht="17.25" customHeight="1" x14ac:dyDescent="0.2">
      <c r="A18" t="s">
        <v>13</v>
      </c>
      <c r="B18" s="13" t="s">
        <v>11</v>
      </c>
      <c r="C18" s="25">
        <v>15.4</v>
      </c>
    </row>
    <row r="19" spans="1:3" ht="17.25" customHeight="1" x14ac:dyDescent="0.2">
      <c r="A19" t="s">
        <v>13</v>
      </c>
      <c r="B19" s="13" t="s">
        <v>4</v>
      </c>
      <c r="C19" s="25">
        <v>15.4</v>
      </c>
    </row>
    <row r="20" spans="1:3" ht="17.25" customHeight="1" x14ac:dyDescent="0.2">
      <c r="A20" t="s">
        <v>13</v>
      </c>
      <c r="B20" s="13" t="s">
        <v>5</v>
      </c>
      <c r="C20" s="25">
        <v>7.7</v>
      </c>
    </row>
    <row r="21" spans="1:3" ht="17.25" customHeight="1" x14ac:dyDescent="0.2">
      <c r="A21" t="s">
        <v>13</v>
      </c>
      <c r="B21" s="13" t="s">
        <v>6</v>
      </c>
      <c r="C21" s="25">
        <v>15.4</v>
      </c>
    </row>
    <row r="22" spans="1:3" ht="17.25" customHeight="1" x14ac:dyDescent="0.2">
      <c r="A22" t="s">
        <v>13</v>
      </c>
      <c r="B22" s="13" t="s">
        <v>7</v>
      </c>
      <c r="C22" s="25">
        <v>23.1</v>
      </c>
    </row>
    <row r="23" spans="1:3" ht="17.25" customHeight="1" x14ac:dyDescent="0.2">
      <c r="A23" t="s">
        <v>13</v>
      </c>
      <c r="B23" s="13" t="s">
        <v>8</v>
      </c>
      <c r="C23" s="25">
        <v>15.4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Comportamiento Enfriadores Geo</vt:lpstr>
      <vt:lpstr>Top 5 Mayor Invasión</vt:lpstr>
      <vt:lpstr>Tipo Invasión Distruidor</vt:lpstr>
      <vt:lpstr>Mix de Competencia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jl.rodriguezelias</cp:lastModifiedBy>
  <dcterms:created xsi:type="dcterms:W3CDTF">2026-01-30T20:36:03Z</dcterms:created>
  <dcterms:modified xsi:type="dcterms:W3CDTF">2026-02-09T19:53:29Z</dcterms:modified>
</cp:coreProperties>
</file>