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Comportamiento Enfriadores Geo"/>
    <sheet r:id="rId2" sheetId="2" name="Top 5 Mayor Invasión"/>
    <sheet r:id="rId3" sheetId="3" name="Tipo Invasión Distruidor"/>
    <sheet r:id="rId4" sheetId="4" name="Mix de Competencia"/>
  </sheets>
  <calcPr fullCalcOnLoad="1"/>
</workbook>
</file>

<file path=xl/sharedStrings.xml><?xml version="1.0" encoding="utf-8"?>
<sst xmlns="http://schemas.openxmlformats.org/spreadsheetml/2006/main" count="167" uniqueCount="40">
  <si>
    <t>Distribuidor</t>
  </si>
  <si>
    <t>Mix de Competencia</t>
  </si>
  <si>
    <t>Porcentaje</t>
  </si>
  <si>
    <t>Erick Zamora</t>
  </si>
  <si>
    <t>Jarritos</t>
  </si>
  <si>
    <t>Jumex</t>
  </si>
  <si>
    <t>LALA</t>
  </si>
  <si>
    <t>Energizantes</t>
  </si>
  <si>
    <t>Otro</t>
  </si>
  <si>
    <t>Peñafiel</t>
  </si>
  <si>
    <t>PepsiCo</t>
  </si>
  <si>
    <t>Juan Pérez</t>
  </si>
  <si>
    <t>Red Cola</t>
  </si>
  <si>
    <t>Electrolit</t>
  </si>
  <si>
    <t>José Gutiérrez</t>
  </si>
  <si>
    <t>Bonafont</t>
  </si>
  <si>
    <t xml:space="preserve">Tipo de invasión </t>
  </si>
  <si>
    <t>Distribuidor Erick Zamora</t>
  </si>
  <si>
    <t>Distribuidor Juan Pérez</t>
  </si>
  <si>
    <t>Distribuidor José Gutiérrez</t>
  </si>
  <si>
    <t xml:space="preserve">Bebidas de la competencia </t>
  </si>
  <si>
    <t>Algún sólido</t>
  </si>
  <si>
    <t>Bebidas alcohólicas</t>
  </si>
  <si>
    <t>Zona</t>
  </si>
  <si>
    <t>Categoría</t>
  </si>
  <si>
    <t>Mes 1</t>
  </si>
  <si>
    <t>Mes 2</t>
  </si>
  <si>
    <t>vs MA</t>
  </si>
  <si>
    <t>Levantamientos</t>
  </si>
  <si>
    <t>Distribuidor Luis Gómez</t>
  </si>
  <si>
    <t>Distribuidor Rita Hernández</t>
  </si>
  <si>
    <t>Distruibuidor Erick Zamora</t>
  </si>
  <si>
    <t>Refrigeradores</t>
  </si>
  <si>
    <t>Lleno</t>
  </si>
  <si>
    <t>Invasión a refrigerador</t>
  </si>
  <si>
    <t>% Refris invadidos</t>
  </si>
  <si>
    <t>Invasión visible</t>
  </si>
  <si>
    <t>Vs MA</t>
  </si>
  <si>
    <t>Invasiones a refrigerador</t>
  </si>
  <si>
    <t>Porcentaje refris invadidos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</si>
</sst>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1">
    <numFmt numFmtId="164" formatCode="#,##0.00%"/>
  </numFmts>
  <fonts count="5" x14ac:knownFonts="1">
    <font>
      <sz val="11"/>
      <color theme="1"/>
      <name val="Calibri"/>
      <family val="2"/>
      <scheme val="minor"/>
    </font>
    <font>
      <sz val="12"/>
      <color rgb="FFffffff"/>
      <name val="Aptos Narrow"/>
      <family val="2"/>
    </font>
    <font>
      <sz val="11"/>
      <color rgb="FF000000"/>
      <name val="Calibri"/>
      <family val="2"/>
    </font>
    <font>
      <sz val="12"/>
      <color rgb="FF000000"/>
      <name val="Aptos Narrow"/>
      <family val="2"/>
    </font>
    <font>
      <sz val="12"/>
      <color rgb="FF000000"/>
      <name val="Helvetica"/>
      <family val="2"/>
    </font>
  </fonts>
  <fills count="5">
    <fill>
      <patternFill patternType="none"/>
    </fill>
    <fill>
      <patternFill patternType="gray125"/>
    </fill>
    <fill>
      <patternFill patternType="solid">
        <fgColor rgb="FF0084a9"/>
      </patternFill>
    </fill>
    <fill>
      <patternFill patternType="solid">
        <fgColor rgb="FFc1e5f5"/>
      </patternFill>
    </fill>
    <fill>
      <patternFill patternType="solid">
        <fgColor rgb="FFcaeefb"/>
      </patternFill>
    </fill>
  </fills>
  <borders count="3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28">
    <xf xfId="0" numFmtId="0" borderId="0" fontId="0" fillId="0"/>
    <xf xfId="0" numFmtId="0" borderId="1" applyBorder="1" fontId="1" applyFont="1" fillId="2" applyFill="1" applyAlignment="1">
      <alignment horizontal="left"/>
    </xf>
    <xf xfId="0" numFmtId="164" applyNumberFormat="1" borderId="1" applyBorder="1" fontId="1" applyFont="1" fillId="2" applyFill="1" applyAlignment="1">
      <alignment horizontal="left"/>
    </xf>
    <xf xfId="0" numFmtId="0" borderId="0" fontId="0" fillId="0" applyAlignment="1">
      <alignment horizontal="general"/>
    </xf>
    <xf xfId="0" numFmtId="164" applyNumberFormat="1" borderId="2" applyBorder="1" fontId="2" applyFont="1" fillId="0" applyAlignment="1">
      <alignment horizontal="right"/>
    </xf>
    <xf xfId="0" numFmtId="0" borderId="0" fontId="0" fillId="0" applyAlignment="1">
      <alignment horizontal="general"/>
    </xf>
    <xf xfId="0" numFmtId="164" applyNumberFormat="1" borderId="0" fontId="0" fillId="0" applyAlignment="1">
      <alignment horizontal="right"/>
    </xf>
    <xf xfId="0" numFmtId="3" applyNumberFormat="1" borderId="1" applyBorder="1" fontId="1" applyFont="1" fillId="2" applyFill="1" applyAlignment="1">
      <alignment horizontal="center"/>
    </xf>
    <xf xfId="0" numFmtId="0" borderId="1" applyBorder="1" fontId="1" applyFont="1" fillId="2" applyFill="1" applyAlignment="1">
      <alignment horizontal="center"/>
    </xf>
    <xf xfId="0" numFmtId="3" applyNumberFormat="1" borderId="2" applyBorder="1" fontId="2" applyFont="1" fillId="0" applyAlignment="1">
      <alignment horizontal="center"/>
    </xf>
    <xf xfId="0" numFmtId="0" borderId="2" applyBorder="1" fontId="2" applyFont="1" fillId="0" applyAlignment="1">
      <alignment horizontal="left"/>
    </xf>
    <xf xfId="0" numFmtId="0" borderId="2" applyBorder="1" fontId="2" applyFont="1" fillId="0" applyAlignment="1">
      <alignment horizontal="right"/>
    </xf>
    <xf xfId="0" numFmtId="3" applyNumberFormat="1" borderId="2" applyBorder="1" fontId="2" applyFont="1" fillId="0" applyAlignment="1">
      <alignment horizontal="right"/>
    </xf>
    <xf xfId="0" numFmtId="3" applyNumberFormat="1" borderId="0" fontId="0" fillId="0" applyAlignment="1">
      <alignment horizontal="center"/>
    </xf>
    <xf xfId="0" numFmtId="0" borderId="0" fontId="0" fillId="0" applyAlignment="1">
      <alignment horizontal="left"/>
    </xf>
    <xf xfId="0" numFmtId="0" borderId="0" fontId="0" fillId="0" applyAlignment="1">
      <alignment horizontal="right"/>
    </xf>
    <xf xfId="0" numFmtId="3" applyNumberFormat="1" borderId="0" fontId="0" fillId="0" applyAlignment="1">
      <alignment horizontal="right"/>
    </xf>
    <xf xfId="0" numFmtId="3" applyNumberFormat="1" borderId="1" applyBorder="1" fontId="3" applyFont="1" fillId="3" applyFill="1" applyAlignment="1">
      <alignment horizontal="left"/>
    </xf>
    <xf xfId="0" numFmtId="0" borderId="1" applyBorder="1" fontId="4" applyFont="1" fillId="3" applyFill="1" applyAlignment="1">
      <alignment horizontal="left"/>
    </xf>
    <xf xfId="0" numFmtId="3" applyNumberFormat="1" borderId="2" applyBorder="1" fontId="3" applyFont="1" fillId="0" applyAlignment="1">
      <alignment horizontal="right"/>
    </xf>
    <xf xfId="0" numFmtId="3" applyNumberFormat="1" borderId="2" applyBorder="1" fontId="3" applyFont="1" fillId="0" applyAlignment="1">
      <alignment horizontal="left"/>
    </xf>
    <xf xfId="0" numFmtId="0" borderId="2" applyBorder="1" fontId="4" applyFont="1" fillId="0" applyAlignment="1">
      <alignment horizontal="left"/>
    </xf>
    <xf xfId="0" numFmtId="3" applyNumberFormat="1" borderId="1" applyBorder="1" fontId="3" applyFont="1" fillId="4" applyFill="1" applyAlignment="1">
      <alignment horizontal="left"/>
    </xf>
    <xf xfId="0" numFmtId="0" borderId="1" applyBorder="1" fontId="4" applyFont="1" fillId="4" applyFill="1" applyAlignment="1">
      <alignment horizontal="left"/>
    </xf>
    <xf xfId="0" numFmtId="164" applyNumberFormat="1" borderId="2" applyBorder="1" fontId="3" applyFont="1" fillId="0" applyAlignment="1">
      <alignment horizontal="right"/>
    </xf>
    <xf xfId="0" numFmtId="0" borderId="1" applyBorder="1" fontId="3" applyFont="1" fillId="4" applyFill="1" applyAlignment="1">
      <alignment horizontal="left"/>
    </xf>
    <xf xfId="0" numFmtId="0" borderId="2" applyBorder="1" fontId="3" applyFont="1" fillId="0" applyAlignment="1">
      <alignment horizontal="left"/>
    </xf>
    <xf xfId="0" numFmtId="3" applyNumberFormat="1" borderId="0" fontId="0" fillId="0" applyAlignment="1">
      <alignment horizontal="left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sharedStrings.xml" Type="http://schemas.openxmlformats.org/officeDocument/2006/relationships/sharedStrings" Id="rId5"/><Relationship Target="styles.xml" Type="http://schemas.openxmlformats.org/officeDocument/2006/relationships/styles" Id="rId6"/><Relationship Target="theme/theme1.xml" Type="http://schemas.openxmlformats.org/officeDocument/2006/relationships/theme" Id="rId7"/><Relationship Target="vbaProject.bin" Type="http://schemas.microsoft.com/office/2006/relationships/vbaProject" Id="rId8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H43"/>
  <sheetViews>
    <sheetView workbookViewId="0" tabSelected="1"/>
  </sheetViews>
  <sheetFormatPr defaultRowHeight="15" x14ac:dyDescent="0.25"/>
  <cols>
    <col min="1" max="1" style="27" width="5.147857142857143" customWidth="1" bestFit="1"/>
    <col min="2" max="2" style="14" width="29.005" customWidth="1" bestFit="1"/>
    <col min="3" max="3" style="16" width="7.147857142857143" customWidth="1" bestFit="1"/>
    <col min="4" max="4" style="16" width="7.147857142857143" customWidth="1" bestFit="1"/>
    <col min="5" max="5" style="15" width="7.862142857142857" customWidth="1" bestFit="1"/>
    <col min="6" max="6" style="5" width="7.862142857142857" customWidth="1" bestFit="1"/>
    <col min="7" max="7" style="5" width="12.43357142857143" customWidth="1" bestFit="1"/>
    <col min="8" max="8" style="5" width="7.147857142857143" customWidth="1" bestFit="1"/>
  </cols>
  <sheetData>
    <row x14ac:dyDescent="0.25" r="1" customHeight="1" ht="17.25">
      <c r="A1" s="7" t="s">
        <v>23</v>
      </c>
      <c r="B1" s="8" t="s">
        <v>24</v>
      </c>
      <c r="C1" s="7" t="s">
        <v>25</v>
      </c>
      <c r="D1" s="7" t="s">
        <v>26</v>
      </c>
      <c r="E1" s="8" t="s">
        <v>37</v>
      </c>
      <c r="F1" s="3"/>
      <c r="G1" s="3"/>
      <c r="H1" s="3"/>
    </row>
    <row x14ac:dyDescent="0.25" r="2" customHeight="1" ht="17.25">
      <c r="A2" s="17">
        <v>1</v>
      </c>
      <c r="B2" s="18" t="s">
        <v>28</v>
      </c>
      <c r="C2" s="19">
        <v>466</v>
      </c>
      <c r="D2" s="19">
        <v>463</v>
      </c>
      <c r="E2" s="19">
        <f>D2-C2</f>
      </c>
      <c r="F2" s="3"/>
      <c r="G2" s="3"/>
      <c r="H2" s="3"/>
    </row>
    <row x14ac:dyDescent="0.25" r="3" customHeight="1" ht="17.25">
      <c r="A3" s="20">
        <v>2</v>
      </c>
      <c r="B3" s="21" t="s">
        <v>28</v>
      </c>
      <c r="C3" s="19">
        <v>385</v>
      </c>
      <c r="D3" s="19">
        <v>381</v>
      </c>
      <c r="E3" s="19">
        <f>D3-C3</f>
      </c>
      <c r="F3" s="3"/>
      <c r="G3" s="3"/>
      <c r="H3" s="3"/>
    </row>
    <row x14ac:dyDescent="0.25" r="4" customHeight="1" ht="17.25">
      <c r="A4" s="20">
        <v>3</v>
      </c>
      <c r="B4" s="21" t="s">
        <v>28</v>
      </c>
      <c r="C4" s="19">
        <v>727</v>
      </c>
      <c r="D4" s="19">
        <v>738</v>
      </c>
      <c r="E4" s="19">
        <f>D4-C4</f>
      </c>
      <c r="F4" s="3"/>
      <c r="G4" s="3"/>
      <c r="H4" s="3"/>
    </row>
    <row x14ac:dyDescent="0.25" r="5" customHeight="1" ht="17.25">
      <c r="A5" s="20">
        <v>4</v>
      </c>
      <c r="B5" s="21" t="s">
        <v>28</v>
      </c>
      <c r="C5" s="19">
        <v>414</v>
      </c>
      <c r="D5" s="19">
        <v>413</v>
      </c>
      <c r="E5" s="19">
        <f>D5-C5</f>
      </c>
      <c r="F5" s="3"/>
      <c r="G5" s="3"/>
      <c r="H5" s="3"/>
    </row>
    <row x14ac:dyDescent="0.25" r="6" customHeight="1" ht="17.25">
      <c r="A6" s="20">
        <v>5</v>
      </c>
      <c r="B6" s="21" t="s">
        <v>28</v>
      </c>
      <c r="C6" s="19">
        <v>362</v>
      </c>
      <c r="D6" s="19">
        <v>361</v>
      </c>
      <c r="E6" s="19">
        <f>D6-C6</f>
      </c>
      <c r="F6" s="3"/>
      <c r="G6" s="3"/>
      <c r="H6" s="3"/>
    </row>
    <row x14ac:dyDescent="0.25" r="7" customHeight="1" ht="17.25">
      <c r="A7" s="20">
        <v>6</v>
      </c>
      <c r="B7" s="21" t="s">
        <v>28</v>
      </c>
      <c r="C7" s="19">
        <v>417</v>
      </c>
      <c r="D7" s="19">
        <v>410</v>
      </c>
      <c r="E7" s="19">
        <f>D7-C7</f>
      </c>
      <c r="F7" s="3"/>
      <c r="G7" s="3"/>
      <c r="H7" s="3"/>
    </row>
    <row x14ac:dyDescent="0.25" r="8" customHeight="1" ht="17.25">
      <c r="A8" s="20">
        <v>7</v>
      </c>
      <c r="B8" s="21" t="s">
        <v>28</v>
      </c>
      <c r="C8" s="19">
        <v>153</v>
      </c>
      <c r="D8" s="19">
        <v>158</v>
      </c>
      <c r="E8" s="19">
        <f>D8-C8</f>
      </c>
      <c r="F8" s="3"/>
      <c r="G8" s="3"/>
      <c r="H8" s="3"/>
    </row>
    <row x14ac:dyDescent="0.25" r="9" customHeight="1" ht="17.25">
      <c r="A9" s="17">
        <v>1</v>
      </c>
      <c r="B9" s="18" t="s">
        <v>32</v>
      </c>
      <c r="C9" s="19">
        <v>610</v>
      </c>
      <c r="D9" s="19">
        <v>611</v>
      </c>
      <c r="E9" s="19">
        <f>D9-C9</f>
      </c>
      <c r="F9" s="3"/>
      <c r="G9" s="3"/>
      <c r="H9" s="3"/>
    </row>
    <row x14ac:dyDescent="0.25" r="10" customHeight="1" ht="17.25">
      <c r="A10" s="20">
        <v>2</v>
      </c>
      <c r="B10" s="21" t="s">
        <v>32</v>
      </c>
      <c r="C10" s="19">
        <v>434</v>
      </c>
      <c r="D10" s="19">
        <v>425</v>
      </c>
      <c r="E10" s="19">
        <f>D10-C10</f>
      </c>
      <c r="F10" s="3"/>
      <c r="G10" s="3"/>
      <c r="H10" s="3"/>
    </row>
    <row x14ac:dyDescent="0.25" r="11" customHeight="1" ht="17.25">
      <c r="A11" s="20">
        <v>3</v>
      </c>
      <c r="B11" s="21" t="s">
        <v>32</v>
      </c>
      <c r="C11" s="19">
        <v>836</v>
      </c>
      <c r="D11" s="19">
        <v>833</v>
      </c>
      <c r="E11" s="19">
        <f>D11-C11</f>
      </c>
      <c r="F11" s="3"/>
      <c r="G11" s="3"/>
      <c r="H11" s="3"/>
    </row>
    <row x14ac:dyDescent="0.25" r="12" customHeight="1" ht="17.25">
      <c r="A12" s="20">
        <v>4</v>
      </c>
      <c r="B12" s="21" t="s">
        <v>32</v>
      </c>
      <c r="C12" s="19">
        <v>503</v>
      </c>
      <c r="D12" s="19">
        <v>486</v>
      </c>
      <c r="E12" s="19">
        <f>D12-C12</f>
      </c>
      <c r="F12" s="3"/>
      <c r="G12" s="3"/>
      <c r="H12" s="3"/>
    </row>
    <row x14ac:dyDescent="0.25" r="13" customHeight="1" ht="17.25">
      <c r="A13" s="20">
        <v>5</v>
      </c>
      <c r="B13" s="21" t="s">
        <v>32</v>
      </c>
      <c r="C13" s="19">
        <v>414</v>
      </c>
      <c r="D13" s="19">
        <v>414</v>
      </c>
      <c r="E13" s="19">
        <f>D13-C13</f>
      </c>
      <c r="F13" s="3"/>
      <c r="G13" s="3"/>
      <c r="H13" s="3"/>
    </row>
    <row x14ac:dyDescent="0.25" r="14" customHeight="1" ht="17.25">
      <c r="A14" s="20">
        <v>6</v>
      </c>
      <c r="B14" s="21" t="s">
        <v>32</v>
      </c>
      <c r="C14" s="19">
        <v>511</v>
      </c>
      <c r="D14" s="19">
        <v>490</v>
      </c>
      <c r="E14" s="19">
        <f>D14-C14</f>
      </c>
      <c r="F14" s="3"/>
      <c r="G14" s="3"/>
      <c r="H14" s="3"/>
    </row>
    <row x14ac:dyDescent="0.25" r="15" customHeight="1" ht="17.25">
      <c r="A15" s="20">
        <v>7</v>
      </c>
      <c r="B15" s="21" t="s">
        <v>32</v>
      </c>
      <c r="C15" s="19">
        <v>192</v>
      </c>
      <c r="D15" s="19">
        <v>194</v>
      </c>
      <c r="E15" s="19">
        <f>D15-C15</f>
      </c>
      <c r="F15" s="3"/>
      <c r="G15" s="3"/>
      <c r="H15" s="3"/>
    </row>
    <row x14ac:dyDescent="0.25" r="16" customHeight="1" ht="17.25">
      <c r="A16" s="17">
        <v>1</v>
      </c>
      <c r="B16" s="18" t="s">
        <v>33</v>
      </c>
      <c r="C16" s="19">
        <v>585</v>
      </c>
      <c r="D16" s="19">
        <v>542</v>
      </c>
      <c r="E16" s="19">
        <f>D16-C16</f>
      </c>
      <c r="F16" s="3"/>
      <c r="G16" s="3"/>
      <c r="H16" s="3"/>
    </row>
    <row x14ac:dyDescent="0.25" r="17" customHeight="1" ht="17.25">
      <c r="A17" s="20">
        <v>2</v>
      </c>
      <c r="B17" s="21" t="s">
        <v>33</v>
      </c>
      <c r="C17" s="19">
        <v>387</v>
      </c>
      <c r="D17" s="19">
        <v>357</v>
      </c>
      <c r="E17" s="19">
        <f>D17-C17</f>
      </c>
      <c r="F17" s="3"/>
      <c r="G17" s="3"/>
      <c r="H17" s="3"/>
    </row>
    <row x14ac:dyDescent="0.25" r="18" customHeight="1" ht="17.25">
      <c r="A18" s="20">
        <v>3</v>
      </c>
      <c r="B18" s="21" t="s">
        <v>33</v>
      </c>
      <c r="C18" s="19">
        <v>719</v>
      </c>
      <c r="D18" s="19">
        <v>728</v>
      </c>
      <c r="E18" s="19">
        <f>D18-C18</f>
      </c>
      <c r="F18" s="3"/>
      <c r="G18" s="3"/>
      <c r="H18" s="3"/>
    </row>
    <row x14ac:dyDescent="0.25" r="19" customHeight="1" ht="17.25">
      <c r="A19" s="20">
        <v>4</v>
      </c>
      <c r="B19" s="21" t="s">
        <v>33</v>
      </c>
      <c r="C19" s="19">
        <v>487</v>
      </c>
      <c r="D19" s="19">
        <v>441</v>
      </c>
      <c r="E19" s="19">
        <f>D19-C19</f>
      </c>
      <c r="F19" s="3"/>
      <c r="G19" s="3"/>
      <c r="H19" s="3"/>
    </row>
    <row x14ac:dyDescent="0.25" r="20" customHeight="1" ht="17.25">
      <c r="A20" s="20">
        <v>5</v>
      </c>
      <c r="B20" s="21" t="s">
        <v>33</v>
      </c>
      <c r="C20" s="19">
        <v>402</v>
      </c>
      <c r="D20" s="19">
        <v>398</v>
      </c>
      <c r="E20" s="19">
        <f>D20-C20</f>
      </c>
      <c r="F20" s="3"/>
      <c r="G20" s="3"/>
      <c r="H20" s="3"/>
    </row>
    <row x14ac:dyDescent="0.25" r="21" customHeight="1" ht="17.25">
      <c r="A21" s="20">
        <v>6</v>
      </c>
      <c r="B21" s="21" t="s">
        <v>33</v>
      </c>
      <c r="C21" s="19">
        <v>447</v>
      </c>
      <c r="D21" s="19">
        <v>429</v>
      </c>
      <c r="E21" s="19">
        <f>D21-C21</f>
      </c>
      <c r="F21" s="3"/>
      <c r="G21" s="3"/>
      <c r="H21" s="3"/>
    </row>
    <row x14ac:dyDescent="0.25" r="22" customHeight="1" ht="17.25">
      <c r="A22" s="20">
        <v>7</v>
      </c>
      <c r="B22" s="21" t="s">
        <v>33</v>
      </c>
      <c r="C22" s="19">
        <v>187</v>
      </c>
      <c r="D22" s="19">
        <v>185</v>
      </c>
      <c r="E22" s="19">
        <f>D22-C22</f>
      </c>
      <c r="F22" s="3"/>
      <c r="G22" s="3"/>
      <c r="H22" s="3"/>
    </row>
    <row x14ac:dyDescent="0.25" r="23" customHeight="1" ht="17.25">
      <c r="A23" s="22">
        <v>1</v>
      </c>
      <c r="B23" s="23" t="s">
        <v>38</v>
      </c>
      <c r="C23" s="19">
        <v>26</v>
      </c>
      <c r="D23" s="19">
        <v>76</v>
      </c>
      <c r="E23" s="19">
        <f>D23-C23</f>
      </c>
      <c r="F23" s="3"/>
      <c r="G23" s="3"/>
      <c r="H23" s="3"/>
    </row>
    <row x14ac:dyDescent="0.25" r="24" customHeight="1" ht="17.25">
      <c r="A24" s="20">
        <v>2</v>
      </c>
      <c r="B24" s="21" t="s">
        <v>38</v>
      </c>
      <c r="C24" s="19">
        <v>68</v>
      </c>
      <c r="D24" s="19">
        <v>82</v>
      </c>
      <c r="E24" s="19">
        <f>D24-C24</f>
      </c>
      <c r="F24" s="3"/>
      <c r="G24" s="3"/>
      <c r="H24" s="3"/>
    </row>
    <row x14ac:dyDescent="0.25" r="25" customHeight="1" ht="17.25">
      <c r="A25" s="20">
        <v>3</v>
      </c>
      <c r="B25" s="21" t="s">
        <v>38</v>
      </c>
      <c r="C25" s="19">
        <v>187</v>
      </c>
      <c r="D25" s="19">
        <v>203</v>
      </c>
      <c r="E25" s="19">
        <f>D25-C25</f>
      </c>
      <c r="F25" s="3"/>
      <c r="G25" s="3"/>
      <c r="H25" s="3"/>
    </row>
    <row x14ac:dyDescent="0.25" r="26" customHeight="1" ht="20.25">
      <c r="A26" s="20">
        <v>4</v>
      </c>
      <c r="B26" s="21" t="s">
        <v>38</v>
      </c>
      <c r="C26" s="19">
        <v>53</v>
      </c>
      <c r="D26" s="19">
        <v>101</v>
      </c>
      <c r="E26" s="19">
        <f>D26-C26</f>
      </c>
      <c r="F26" s="3"/>
      <c r="G26" s="3"/>
      <c r="H26" s="3"/>
    </row>
    <row x14ac:dyDescent="0.25" r="27" customHeight="1" ht="20.25">
      <c r="A27" s="20">
        <v>5</v>
      </c>
      <c r="B27" s="21" t="s">
        <v>38</v>
      </c>
      <c r="C27" s="19">
        <v>23</v>
      </c>
      <c r="D27" s="19">
        <v>25</v>
      </c>
      <c r="E27" s="19">
        <f>D27-C27</f>
      </c>
      <c r="F27" s="3"/>
      <c r="G27" s="3"/>
      <c r="H27" s="3"/>
    </row>
    <row x14ac:dyDescent="0.25" r="28" customHeight="1" ht="20.25">
      <c r="A28" s="20">
        <v>6</v>
      </c>
      <c r="B28" s="21" t="s">
        <v>38</v>
      </c>
      <c r="C28" s="19">
        <v>112</v>
      </c>
      <c r="D28" s="19">
        <v>97</v>
      </c>
      <c r="E28" s="19">
        <f>D28-C28</f>
      </c>
      <c r="F28" s="3"/>
      <c r="G28" s="3"/>
      <c r="H28" s="3"/>
    </row>
    <row x14ac:dyDescent="0.25" r="29" customHeight="1" ht="20.25">
      <c r="A29" s="20">
        <v>7</v>
      </c>
      <c r="B29" s="21" t="s">
        <v>38</v>
      </c>
      <c r="C29" s="19">
        <v>9</v>
      </c>
      <c r="D29" s="19">
        <v>11</v>
      </c>
      <c r="E29" s="19">
        <f>D29-C29</f>
      </c>
      <c r="F29" s="3"/>
      <c r="G29" s="3"/>
      <c r="H29" s="3"/>
    </row>
    <row x14ac:dyDescent="0.25" r="30" customHeight="1" ht="20.25">
      <c r="A30" s="22">
        <v>1</v>
      </c>
      <c r="B30" s="23" t="s">
        <v>39</v>
      </c>
      <c r="C30" s="24">
        <f>$C23/$C9</f>
      </c>
      <c r="D30" s="24">
        <f>$D23/$D9</f>
      </c>
      <c r="E30" s="24">
        <f>C30-D30</f>
      </c>
      <c r="F30" s="3"/>
      <c r="G30" s="3"/>
      <c r="H30" s="3"/>
    </row>
    <row x14ac:dyDescent="0.25" r="31" customHeight="1" ht="20.25">
      <c r="A31" s="20">
        <v>2</v>
      </c>
      <c r="B31" s="21" t="s">
        <v>39</v>
      </c>
      <c r="C31" s="24">
        <f>$C24/$C10</f>
      </c>
      <c r="D31" s="24">
        <f>$D24/$D10</f>
      </c>
      <c r="E31" s="24">
        <f>C31-D31</f>
      </c>
      <c r="F31" s="3"/>
      <c r="G31" s="3"/>
      <c r="H31" s="4"/>
    </row>
    <row x14ac:dyDescent="0.25" r="32" customHeight="1" ht="20.25">
      <c r="A32" s="20">
        <v>3</v>
      </c>
      <c r="B32" s="21" t="s">
        <v>39</v>
      </c>
      <c r="C32" s="24">
        <f>$C25/$C11</f>
      </c>
      <c r="D32" s="24">
        <f>$D25/$D11</f>
      </c>
      <c r="E32" s="24">
        <f>C32-D32</f>
      </c>
      <c r="F32" s="3"/>
      <c r="G32" s="3"/>
      <c r="H32" s="3"/>
    </row>
    <row x14ac:dyDescent="0.25" r="33" customHeight="1" ht="20.25">
      <c r="A33" s="20">
        <v>4</v>
      </c>
      <c r="B33" s="21" t="s">
        <v>39</v>
      </c>
      <c r="C33" s="24">
        <f>$C26/$C12</f>
      </c>
      <c r="D33" s="24">
        <f>$D26/$D12</f>
      </c>
      <c r="E33" s="24">
        <f>C33-D33</f>
      </c>
      <c r="F33" s="3"/>
      <c r="G33" s="3"/>
      <c r="H33" s="3"/>
    </row>
    <row x14ac:dyDescent="0.25" r="34" customHeight="1" ht="20.25">
      <c r="A34" s="20">
        <v>5</v>
      </c>
      <c r="B34" s="21" t="s">
        <v>39</v>
      </c>
      <c r="C34" s="24">
        <f>$C27/$C13</f>
      </c>
      <c r="D34" s="24">
        <f>$D27/$D13</f>
      </c>
      <c r="E34" s="24">
        <f>C34-D34</f>
      </c>
      <c r="F34" s="3"/>
      <c r="G34" s="3"/>
      <c r="H34" s="3"/>
    </row>
    <row x14ac:dyDescent="0.25" r="35" customHeight="1" ht="20.25">
      <c r="A35" s="20">
        <v>6</v>
      </c>
      <c r="B35" s="21" t="s">
        <v>39</v>
      </c>
      <c r="C35" s="24">
        <f>$C28/$C14</f>
      </c>
      <c r="D35" s="24">
        <f>$D28/$D14</f>
      </c>
      <c r="E35" s="24">
        <f>C35-D35</f>
      </c>
      <c r="F35" s="3"/>
      <c r="G35" s="3"/>
      <c r="H35" s="3"/>
    </row>
    <row x14ac:dyDescent="0.25" r="36" customHeight="1" ht="20.25">
      <c r="A36" s="20">
        <v>7</v>
      </c>
      <c r="B36" s="21" t="s">
        <v>39</v>
      </c>
      <c r="C36" s="24">
        <f>$C29/$C15</f>
      </c>
      <c r="D36" s="24">
        <f>$D29/$D15</f>
      </c>
      <c r="E36" s="24">
        <f>C36-D36</f>
      </c>
      <c r="F36" s="3"/>
      <c r="G36" s="3"/>
      <c r="H36" s="3"/>
    </row>
    <row x14ac:dyDescent="0.25" r="37" customHeight="1" ht="20.25">
      <c r="A37" s="22">
        <v>1</v>
      </c>
      <c r="B37" s="25" t="s">
        <v>36</v>
      </c>
      <c r="C37" s="19">
        <v>26</v>
      </c>
      <c r="D37" s="19">
        <v>72</v>
      </c>
      <c r="E37" s="19">
        <f>D37-C37</f>
      </c>
      <c r="F37" s="3"/>
      <c r="G37" s="3"/>
      <c r="H37" s="3"/>
    </row>
    <row x14ac:dyDescent="0.25" r="38" customHeight="1" ht="20.25">
      <c r="A38" s="20">
        <v>2</v>
      </c>
      <c r="B38" s="26" t="s">
        <v>36</v>
      </c>
      <c r="C38" s="19">
        <v>60</v>
      </c>
      <c r="D38" s="19">
        <v>70</v>
      </c>
      <c r="E38" s="19">
        <f>D38-C38</f>
      </c>
      <c r="F38" s="3"/>
      <c r="G38" s="3"/>
      <c r="H38" s="3"/>
    </row>
    <row x14ac:dyDescent="0.25" r="39" customHeight="1" ht="20.25">
      <c r="A39" s="20">
        <v>3</v>
      </c>
      <c r="B39" s="26" t="s">
        <v>36</v>
      </c>
      <c r="C39" s="19">
        <v>171</v>
      </c>
      <c r="D39" s="19">
        <v>190</v>
      </c>
      <c r="E39" s="19">
        <f>D39-C39</f>
      </c>
      <c r="F39" s="3"/>
      <c r="G39" s="3"/>
      <c r="H39" s="3"/>
    </row>
    <row x14ac:dyDescent="0.25" r="40" customHeight="1" ht="20.25">
      <c r="A40" s="20">
        <v>4</v>
      </c>
      <c r="B40" s="26" t="s">
        <v>36</v>
      </c>
      <c r="C40" s="19">
        <v>49</v>
      </c>
      <c r="D40" s="19">
        <v>97</v>
      </c>
      <c r="E40" s="19">
        <f>D40-C40</f>
      </c>
      <c r="F40" s="3"/>
      <c r="G40" s="3"/>
      <c r="H40" s="3"/>
    </row>
    <row x14ac:dyDescent="0.25" r="41" customHeight="1" ht="20.25">
      <c r="A41" s="20">
        <v>5</v>
      </c>
      <c r="B41" s="26" t="s">
        <v>36</v>
      </c>
      <c r="C41" s="19">
        <v>16</v>
      </c>
      <c r="D41" s="19">
        <v>22</v>
      </c>
      <c r="E41" s="19">
        <f>D41-C41</f>
      </c>
      <c r="F41" s="3"/>
      <c r="G41" s="3"/>
      <c r="H41" s="3"/>
    </row>
    <row x14ac:dyDescent="0.25" r="42" customHeight="1" ht="20.25">
      <c r="A42" s="20">
        <v>6</v>
      </c>
      <c r="B42" s="26" t="s">
        <v>36</v>
      </c>
      <c r="C42" s="19">
        <v>93</v>
      </c>
      <c r="D42" s="19">
        <v>80</v>
      </c>
      <c r="E42" s="19">
        <f>D42-C42</f>
      </c>
      <c r="F42" s="3"/>
      <c r="G42" s="3"/>
      <c r="H42" s="3"/>
    </row>
    <row x14ac:dyDescent="0.25" r="43" customHeight="1" ht="20.25">
      <c r="A43" s="20">
        <v>7</v>
      </c>
      <c r="B43" s="26" t="s">
        <v>36</v>
      </c>
      <c r="C43" s="19">
        <v>7</v>
      </c>
      <c r="D43" s="19">
        <v>8</v>
      </c>
      <c r="E43" s="19">
        <f>D43-C43</f>
      </c>
      <c r="F43" s="3"/>
      <c r="G43" s="3"/>
      <c r="H4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R31"/>
  <sheetViews>
    <sheetView workbookViewId="0"/>
  </sheetViews>
  <sheetFormatPr defaultRowHeight="15" x14ac:dyDescent="0.25"/>
  <cols>
    <col min="1" max="1" style="13" width="5.147857142857143" customWidth="1" bestFit="1"/>
    <col min="2" max="2" style="14" width="23.862142857142857" customWidth="1" bestFit="1"/>
    <col min="3" max="3" style="15" width="19.290714285714284" customWidth="1" bestFit="1"/>
    <col min="4" max="4" style="16" width="7.576428571428571" customWidth="1" bestFit="1"/>
    <col min="5" max="5" style="16" width="7.576428571428571" customWidth="1" bestFit="1"/>
    <col min="6" max="6" style="15" width="8.147857142857141" customWidth="1" bestFit="1"/>
    <col min="7" max="7" style="5" width="5.862142857142857" customWidth="1" bestFit="1"/>
    <col min="8" max="8" style="5" width="5.862142857142857" customWidth="1" bestFit="1"/>
    <col min="9" max="9" style="5" width="5.719285714285714" customWidth="1" bestFit="1"/>
    <col min="10" max="10" style="5" width="5.862142857142857" customWidth="1" bestFit="1"/>
    <col min="11" max="11" style="5" width="5.862142857142857" customWidth="1" bestFit="1"/>
    <col min="12" max="12" style="5" width="5.719285714285714" customWidth="1" bestFit="1"/>
    <col min="13" max="13" style="5" width="5.862142857142857" customWidth="1" bestFit="1"/>
    <col min="14" max="14" style="5" width="5.862142857142857" customWidth="1" bestFit="1"/>
    <col min="15" max="15" style="5" width="5.719285714285714" customWidth="1" bestFit="1"/>
    <col min="16" max="16" style="5" width="5.862142857142857" customWidth="1" bestFit="1"/>
    <col min="17" max="17" style="5" width="5.862142857142857" customWidth="1" bestFit="1"/>
    <col min="18" max="18" style="5" width="5.719285714285714" customWidth="1" bestFit="1"/>
  </cols>
  <sheetData>
    <row x14ac:dyDescent="0.25" r="1" customHeight="1" ht="17.25">
      <c r="A1" s="7" t="s">
        <v>23</v>
      </c>
      <c r="B1" s="8" t="s">
        <v>0</v>
      </c>
      <c r="C1" s="8" t="s">
        <v>24</v>
      </c>
      <c r="D1" s="7" t="s">
        <v>25</v>
      </c>
      <c r="E1" s="7" t="s">
        <v>26</v>
      </c>
      <c r="F1" s="8" t="s">
        <v>27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x14ac:dyDescent="0.25" r="2" customHeight="1" ht="17.25">
      <c r="A2" s="9">
        <v>1</v>
      </c>
      <c r="B2" s="10" t="s">
        <v>18</v>
      </c>
      <c r="C2" s="11" t="s">
        <v>28</v>
      </c>
      <c r="D2" s="12">
        <v>44</v>
      </c>
      <c r="E2" s="12">
        <v>46</v>
      </c>
      <c r="F2" s="12">
        <f>E2-D2</f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x14ac:dyDescent="0.25" r="3" customHeight="1" ht="17.25">
      <c r="A3" s="9">
        <v>2</v>
      </c>
      <c r="B3" s="10" t="s">
        <v>29</v>
      </c>
      <c r="C3" s="11" t="s">
        <v>28</v>
      </c>
      <c r="D3" s="12">
        <v>40</v>
      </c>
      <c r="E3" s="12">
        <v>39</v>
      </c>
      <c r="F3" s="12">
        <f>E3-D3</f>
      </c>
      <c r="G3" s="3"/>
      <c r="H3" s="3"/>
      <c r="I3" s="3"/>
      <c r="J3" s="3"/>
      <c r="K3" s="3"/>
      <c r="L3" s="3"/>
      <c r="M3" s="3"/>
      <c r="N3" s="3"/>
      <c r="O3" s="3"/>
      <c r="P3" s="4"/>
      <c r="Q3" s="4"/>
      <c r="R3" s="4"/>
    </row>
    <row x14ac:dyDescent="0.25" r="4" customHeight="1" ht="17.25">
      <c r="A4" s="9">
        <v>3</v>
      </c>
      <c r="B4" s="10" t="s">
        <v>30</v>
      </c>
      <c r="C4" s="11" t="s">
        <v>28</v>
      </c>
      <c r="D4" s="12">
        <v>33</v>
      </c>
      <c r="E4" s="12">
        <v>35</v>
      </c>
      <c r="F4" s="12">
        <f>E4-D4</f>
      </c>
      <c r="G4" s="3"/>
      <c r="H4" s="3"/>
      <c r="I4" s="3"/>
      <c r="J4" s="3"/>
      <c r="K4" s="3"/>
      <c r="L4" s="3"/>
      <c r="M4" s="3"/>
      <c r="N4" s="3"/>
      <c r="O4" s="3"/>
      <c r="P4" s="4"/>
      <c r="Q4" s="4"/>
      <c r="R4" s="4"/>
    </row>
    <row x14ac:dyDescent="0.25" r="5" customHeight="1" ht="17.25">
      <c r="A5" s="9">
        <v>4</v>
      </c>
      <c r="B5" s="10" t="s">
        <v>31</v>
      </c>
      <c r="C5" s="11" t="s">
        <v>28</v>
      </c>
      <c r="D5" s="12">
        <v>30</v>
      </c>
      <c r="E5" s="12">
        <v>29</v>
      </c>
      <c r="F5" s="12">
        <f>E5-D5</f>
      </c>
      <c r="G5" s="3"/>
      <c r="H5" s="3"/>
      <c r="I5" s="3"/>
      <c r="J5" s="3"/>
      <c r="K5" s="3"/>
      <c r="L5" s="3"/>
      <c r="M5" s="3"/>
      <c r="N5" s="3"/>
      <c r="O5" s="3"/>
      <c r="P5" s="4"/>
      <c r="Q5" s="4"/>
      <c r="R5" s="4"/>
    </row>
    <row x14ac:dyDescent="0.25" r="6" customHeight="1" ht="17.25">
      <c r="A6" s="9">
        <v>4</v>
      </c>
      <c r="B6" s="10" t="s">
        <v>19</v>
      </c>
      <c r="C6" s="11" t="s">
        <v>28</v>
      </c>
      <c r="D6" s="12">
        <v>35</v>
      </c>
      <c r="E6" s="12">
        <v>35</v>
      </c>
      <c r="F6" s="12">
        <f>E6-D6</f>
      </c>
      <c r="G6" s="3"/>
      <c r="H6" s="3"/>
      <c r="I6" s="3"/>
      <c r="J6" s="3"/>
      <c r="K6" s="3"/>
      <c r="L6" s="3"/>
      <c r="M6" s="3"/>
      <c r="N6" s="3"/>
      <c r="O6" s="3"/>
      <c r="P6" s="4"/>
      <c r="Q6" s="4"/>
      <c r="R6" s="4"/>
    </row>
    <row x14ac:dyDescent="0.25" r="7" customHeight="1" ht="17.25">
      <c r="A7" s="9">
        <v>1</v>
      </c>
      <c r="B7" s="10" t="s">
        <v>18</v>
      </c>
      <c r="C7" s="11" t="s">
        <v>32</v>
      </c>
      <c r="D7" s="12">
        <v>48</v>
      </c>
      <c r="E7" s="12">
        <v>47</v>
      </c>
      <c r="F7" s="12">
        <f>E7-D7</f>
      </c>
      <c r="G7" s="3"/>
      <c r="H7" s="3"/>
      <c r="I7" s="3"/>
      <c r="J7" s="3"/>
      <c r="K7" s="3"/>
      <c r="L7" s="3"/>
      <c r="M7" s="3"/>
      <c r="N7" s="3"/>
      <c r="O7" s="3"/>
      <c r="P7" s="4"/>
      <c r="Q7" s="4"/>
      <c r="R7" s="4"/>
    </row>
    <row x14ac:dyDescent="0.25" r="8" customHeight="1" ht="17.25">
      <c r="A8" s="9">
        <v>2</v>
      </c>
      <c r="B8" s="10" t="s">
        <v>29</v>
      </c>
      <c r="C8" s="11" t="s">
        <v>32</v>
      </c>
      <c r="D8" s="12">
        <v>45</v>
      </c>
      <c r="E8" s="12">
        <v>45</v>
      </c>
      <c r="F8" s="12">
        <f>E8-D8</f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x14ac:dyDescent="0.25" r="9" customHeight="1" ht="17.25">
      <c r="A9" s="9">
        <v>3</v>
      </c>
      <c r="B9" s="10" t="s">
        <v>30</v>
      </c>
      <c r="C9" s="11" t="s">
        <v>32</v>
      </c>
      <c r="D9" s="12">
        <v>48</v>
      </c>
      <c r="E9" s="12">
        <v>43</v>
      </c>
      <c r="F9" s="12">
        <f>E9-D9</f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x14ac:dyDescent="0.25" r="10" customHeight="1" ht="17.25">
      <c r="A10" s="9">
        <v>4</v>
      </c>
      <c r="B10" s="10" t="s">
        <v>31</v>
      </c>
      <c r="C10" s="11" t="s">
        <v>32</v>
      </c>
      <c r="D10" s="12">
        <v>38</v>
      </c>
      <c r="E10" s="12">
        <v>34</v>
      </c>
      <c r="F10" s="12">
        <f>E10-D10</f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x14ac:dyDescent="0.25" r="11" customHeight="1" ht="17.25">
      <c r="A11" s="9">
        <v>4</v>
      </c>
      <c r="B11" s="10" t="s">
        <v>19</v>
      </c>
      <c r="C11" s="11" t="s">
        <v>32</v>
      </c>
      <c r="D11" s="12">
        <v>45</v>
      </c>
      <c r="E11" s="12">
        <v>36</v>
      </c>
      <c r="F11" s="12">
        <f>E11-D11</f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x14ac:dyDescent="0.25" r="12" customHeight="1" ht="17.25">
      <c r="A12" s="9">
        <v>1</v>
      </c>
      <c r="B12" s="10" t="s">
        <v>18</v>
      </c>
      <c r="C12" s="11" t="s">
        <v>33</v>
      </c>
      <c r="D12" s="12">
        <v>41</v>
      </c>
      <c r="E12" s="12">
        <v>6</v>
      </c>
      <c r="F12" s="12">
        <f>E12-D12</f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x14ac:dyDescent="0.25" r="13" customHeight="1" ht="17.25">
      <c r="A13" s="9">
        <v>2</v>
      </c>
      <c r="B13" s="10" t="s">
        <v>29</v>
      </c>
      <c r="C13" s="11" t="s">
        <v>33</v>
      </c>
      <c r="D13" s="12">
        <v>40</v>
      </c>
      <c r="E13" s="12">
        <v>33</v>
      </c>
      <c r="F13" s="12">
        <f>E13-D13</f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x14ac:dyDescent="0.25" r="14" customHeight="1" ht="17.25">
      <c r="A14" s="9">
        <v>3</v>
      </c>
      <c r="B14" s="10" t="s">
        <v>30</v>
      </c>
      <c r="C14" s="11" t="s">
        <v>33</v>
      </c>
      <c r="D14" s="12">
        <v>44</v>
      </c>
      <c r="E14" s="12">
        <v>39</v>
      </c>
      <c r="F14" s="12">
        <f>E14-D14</f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x14ac:dyDescent="0.25" r="15" customHeight="1" ht="17.25">
      <c r="A15" s="9">
        <v>4</v>
      </c>
      <c r="B15" s="10" t="s">
        <v>31</v>
      </c>
      <c r="C15" s="11" t="s">
        <v>33</v>
      </c>
      <c r="D15" s="12">
        <v>38</v>
      </c>
      <c r="E15" s="12">
        <v>19</v>
      </c>
      <c r="F15" s="12">
        <f>E15-D15</f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x14ac:dyDescent="0.25" r="16" customHeight="1" ht="17.25">
      <c r="A16" s="9">
        <v>4</v>
      </c>
      <c r="B16" s="10" t="s">
        <v>19</v>
      </c>
      <c r="C16" s="11" t="s">
        <v>33</v>
      </c>
      <c r="D16" s="12">
        <v>45</v>
      </c>
      <c r="E16" s="12">
        <v>27</v>
      </c>
      <c r="F16" s="12">
        <f>E16-D16</f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x14ac:dyDescent="0.25" r="17" customHeight="1" ht="17.25">
      <c r="A17" s="9">
        <v>1</v>
      </c>
      <c r="B17" s="10" t="s">
        <v>18</v>
      </c>
      <c r="C17" s="11" t="s">
        <v>34</v>
      </c>
      <c r="D17" s="12">
        <v>0</v>
      </c>
      <c r="E17" s="12">
        <v>46</v>
      </c>
      <c r="F17" s="12">
        <f>E17-D17</f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x14ac:dyDescent="0.25" r="18" customHeight="1" ht="17.25">
      <c r="A18" s="9">
        <v>2</v>
      </c>
      <c r="B18" s="10" t="s">
        <v>29</v>
      </c>
      <c r="C18" s="11" t="s">
        <v>34</v>
      </c>
      <c r="D18" s="12">
        <v>7</v>
      </c>
      <c r="E18" s="12">
        <v>18</v>
      </c>
      <c r="F18" s="12">
        <f>E18-D18</f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x14ac:dyDescent="0.25" r="19" customHeight="1" ht="17.25">
      <c r="A19" s="9">
        <v>3</v>
      </c>
      <c r="B19" s="10" t="s">
        <v>30</v>
      </c>
      <c r="C19" s="11" t="s">
        <v>34</v>
      </c>
      <c r="D19" s="12">
        <v>10</v>
      </c>
      <c r="E19" s="12">
        <v>20</v>
      </c>
      <c r="F19" s="12">
        <f>E19-D19</f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x14ac:dyDescent="0.25" r="20" customHeight="1" ht="17.25">
      <c r="A20" s="9">
        <v>4</v>
      </c>
      <c r="B20" s="10" t="s">
        <v>31</v>
      </c>
      <c r="C20" s="11" t="s">
        <v>34</v>
      </c>
      <c r="D20" s="12">
        <v>0</v>
      </c>
      <c r="E20" s="12">
        <v>27</v>
      </c>
      <c r="F20" s="12">
        <f>E20-D20</f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x14ac:dyDescent="0.25" r="21" customHeight="1" ht="17.25">
      <c r="A21" s="9">
        <v>4</v>
      </c>
      <c r="B21" s="10" t="s">
        <v>19</v>
      </c>
      <c r="C21" s="11" t="s">
        <v>34</v>
      </c>
      <c r="D21" s="12">
        <v>0</v>
      </c>
      <c r="E21" s="12">
        <v>16</v>
      </c>
      <c r="F21" s="12">
        <f>E21-D21</f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x14ac:dyDescent="0.25" r="22" customHeight="1" ht="17.25">
      <c r="A22" s="9">
        <v>1</v>
      </c>
      <c r="B22" s="10" t="s">
        <v>18</v>
      </c>
      <c r="C22" s="11" t="s">
        <v>35</v>
      </c>
      <c r="D22" s="4">
        <f>$D17/$D7</f>
      </c>
      <c r="E22" s="4">
        <f>$E17/$E7</f>
      </c>
      <c r="F22" s="4">
        <f>D22-E22</f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x14ac:dyDescent="0.25" r="23" customHeight="1" ht="17.25">
      <c r="A23" s="9">
        <v>2</v>
      </c>
      <c r="B23" s="10" t="s">
        <v>29</v>
      </c>
      <c r="C23" s="11" t="s">
        <v>35</v>
      </c>
      <c r="D23" s="4">
        <f>$D18/$D8</f>
      </c>
      <c r="E23" s="4">
        <f>$E18/$E8</f>
      </c>
      <c r="F23" s="4">
        <f>D23-E23</f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x14ac:dyDescent="0.25" r="24" customHeight="1" ht="17.25">
      <c r="A24" s="9">
        <v>3</v>
      </c>
      <c r="B24" s="10" t="s">
        <v>30</v>
      </c>
      <c r="C24" s="11" t="s">
        <v>35</v>
      </c>
      <c r="D24" s="4">
        <f>$D19/$D9</f>
      </c>
      <c r="E24" s="4">
        <f>$E19/$E9</f>
      </c>
      <c r="F24" s="4">
        <f>D24-E24</f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x14ac:dyDescent="0.25" r="25" customHeight="1" ht="17.25">
      <c r="A25" s="9">
        <v>4</v>
      </c>
      <c r="B25" s="10" t="s">
        <v>31</v>
      </c>
      <c r="C25" s="11" t="s">
        <v>35</v>
      </c>
      <c r="D25" s="4">
        <f>$D20/$D10</f>
      </c>
      <c r="E25" s="4">
        <f>$E20/$E10</f>
      </c>
      <c r="F25" s="4">
        <f>D25-E25</f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x14ac:dyDescent="0.25" r="26" customHeight="1" ht="17.25">
      <c r="A26" s="9">
        <v>4</v>
      </c>
      <c r="B26" s="10" t="s">
        <v>19</v>
      </c>
      <c r="C26" s="11" t="s">
        <v>35</v>
      </c>
      <c r="D26" s="4">
        <f>$D21/$D11</f>
      </c>
      <c r="E26" s="4">
        <f>$E21/$E11</f>
      </c>
      <c r="F26" s="4">
        <f>D26-E26</f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x14ac:dyDescent="0.25" r="27" customHeight="1" ht="17.25">
      <c r="A27" s="9">
        <v>1</v>
      </c>
      <c r="B27" s="10" t="s">
        <v>18</v>
      </c>
      <c r="C27" s="11" t="s">
        <v>36</v>
      </c>
      <c r="D27" s="12">
        <v>0</v>
      </c>
      <c r="E27" s="12">
        <v>45</v>
      </c>
      <c r="F27" s="12">
        <f>E27-D27</f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x14ac:dyDescent="0.25" r="28" customHeight="1" ht="17.25">
      <c r="A28" s="9">
        <v>2</v>
      </c>
      <c r="B28" s="10" t="s">
        <v>29</v>
      </c>
      <c r="C28" s="11" t="s">
        <v>36</v>
      </c>
      <c r="D28" s="12">
        <v>5</v>
      </c>
      <c r="E28" s="12">
        <v>14</v>
      </c>
      <c r="F28" s="12">
        <f>E28-D28</f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x14ac:dyDescent="0.25" r="29" customHeight="1" ht="17.25">
      <c r="A29" s="9">
        <v>3</v>
      </c>
      <c r="B29" s="10" t="s">
        <v>30</v>
      </c>
      <c r="C29" s="11" t="s">
        <v>36</v>
      </c>
      <c r="D29" s="12">
        <v>8</v>
      </c>
      <c r="E29" s="12">
        <v>19</v>
      </c>
      <c r="F29" s="12">
        <f>E29-D29</f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x14ac:dyDescent="0.25" r="30" customHeight="1" ht="17.25">
      <c r="A30" s="9">
        <v>4</v>
      </c>
      <c r="B30" s="10" t="s">
        <v>31</v>
      </c>
      <c r="C30" s="11" t="s">
        <v>36</v>
      </c>
      <c r="D30" s="12">
        <v>0</v>
      </c>
      <c r="E30" s="12">
        <v>27</v>
      </c>
      <c r="F30" s="12">
        <f>E30-D30</f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x14ac:dyDescent="0.25" r="31" customHeight="1" ht="17.25">
      <c r="A31" s="9">
        <v>4</v>
      </c>
      <c r="B31" s="10" t="s">
        <v>19</v>
      </c>
      <c r="C31" s="11" t="s">
        <v>36</v>
      </c>
      <c r="D31" s="12">
        <v>0</v>
      </c>
      <c r="E31" s="12">
        <v>16</v>
      </c>
      <c r="F31" s="12">
        <f>E31-D31</f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D4"/>
  <sheetViews>
    <sheetView workbookViewId="0"/>
  </sheetViews>
  <sheetFormatPr defaultRowHeight="15" x14ac:dyDescent="0.25"/>
  <cols>
    <col min="1" max="1" style="5" width="23.576428571428572" customWidth="1" bestFit="1"/>
    <col min="2" max="2" style="6" width="22.005" customWidth="1" bestFit="1"/>
    <col min="3" max="3" style="6" width="19.862142857142857" customWidth="1" bestFit="1"/>
    <col min="4" max="4" style="6" width="22.719285714285714" customWidth="1" bestFit="1"/>
  </cols>
  <sheetData>
    <row x14ac:dyDescent="0.25" r="1" customHeight="1" ht="17.25">
      <c r="A1" s="1" t="s">
        <v>16</v>
      </c>
      <c r="B1" s="2" t="s">
        <v>17</v>
      </c>
      <c r="C1" s="2" t="s">
        <v>18</v>
      </c>
      <c r="D1" s="2" t="s">
        <v>19</v>
      </c>
    </row>
    <row x14ac:dyDescent="0.25" r="2" customHeight="1" ht="17.25">
      <c r="A2" s="3" t="s">
        <v>20</v>
      </c>
      <c r="B2" s="4">
        <v>0.489</v>
      </c>
      <c r="C2" s="4">
        <v>0.682</v>
      </c>
      <c r="D2" s="4">
        <v>0.591</v>
      </c>
    </row>
    <row x14ac:dyDescent="0.25" r="3" customHeight="1" ht="17.25">
      <c r="A3" s="3" t="s">
        <v>21</v>
      </c>
      <c r="B3" s="4">
        <v>0.333</v>
      </c>
      <c r="C3" s="4">
        <v>0.182</v>
      </c>
      <c r="D3" s="4">
        <v>0.318</v>
      </c>
    </row>
    <row x14ac:dyDescent="0.25" r="4" customHeight="1" ht="17.25">
      <c r="A4" s="3" t="s">
        <v>22</v>
      </c>
      <c r="B4" s="4">
        <v>0.178</v>
      </c>
      <c r="C4" s="4">
        <v>0.136</v>
      </c>
      <c r="D4" s="4">
        <v>0.091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23"/>
  <sheetViews>
    <sheetView workbookViewId="0"/>
  </sheetViews>
  <sheetFormatPr defaultRowHeight="15" x14ac:dyDescent="0.25"/>
  <cols>
    <col min="1" max="1" style="5" width="12.290714285714287" customWidth="1" bestFit="1"/>
    <col min="2" max="2" style="5" width="17.862142857142857" customWidth="1" bestFit="1"/>
    <col min="3" max="3" style="6" width="10.005" customWidth="1" bestFit="1"/>
  </cols>
  <sheetData>
    <row x14ac:dyDescent="0.25" r="1" customHeight="1" ht="17.25">
      <c r="A1" s="1" t="s">
        <v>0</v>
      </c>
      <c r="B1" s="1" t="s">
        <v>1</v>
      </c>
      <c r="C1" s="2" t="s">
        <v>2</v>
      </c>
    </row>
    <row x14ac:dyDescent="0.25" r="2" customHeight="1" ht="17.25">
      <c r="A2" s="3" t="s">
        <v>3</v>
      </c>
      <c r="B2" s="3" t="s">
        <v>4</v>
      </c>
      <c r="C2" s="4">
        <f>13.6/100</f>
      </c>
    </row>
    <row x14ac:dyDescent="0.25" r="3" customHeight="1" ht="17.25">
      <c r="A3" s="3" t="s">
        <v>3</v>
      </c>
      <c r="B3" s="3" t="s">
        <v>5</v>
      </c>
      <c r="C3" s="4">
        <v>0.182</v>
      </c>
    </row>
    <row x14ac:dyDescent="0.25" r="4" customHeight="1" ht="17.25">
      <c r="A4" s="3" t="s">
        <v>3</v>
      </c>
      <c r="B4" s="3" t="s">
        <v>6</v>
      </c>
      <c r="C4" s="4">
        <v>0.045</v>
      </c>
    </row>
    <row x14ac:dyDescent="0.25" r="5" customHeight="1" ht="17.25">
      <c r="A5" s="3" t="s">
        <v>3</v>
      </c>
      <c r="B5" s="3" t="s">
        <v>7</v>
      </c>
      <c r="C5" s="4">
        <v>0.045</v>
      </c>
    </row>
    <row x14ac:dyDescent="0.25" r="6" customHeight="1" ht="17.25">
      <c r="A6" s="3" t="s">
        <v>3</v>
      </c>
      <c r="B6" s="3" t="s">
        <v>8</v>
      </c>
      <c r="C6" s="4">
        <v>0.182</v>
      </c>
    </row>
    <row x14ac:dyDescent="0.25" r="7" customHeight="1" ht="17.25">
      <c r="A7" s="3" t="s">
        <v>3</v>
      </c>
      <c r="B7" s="3" t="s">
        <v>9</v>
      </c>
      <c r="C7" s="4">
        <v>0.136</v>
      </c>
    </row>
    <row x14ac:dyDescent="0.25" r="8" customHeight="1" ht="17.25">
      <c r="A8" s="3" t="s">
        <v>3</v>
      </c>
      <c r="B8" s="3" t="s">
        <v>10</v>
      </c>
      <c r="C8" s="4">
        <v>0.273</v>
      </c>
    </row>
    <row x14ac:dyDescent="0.25" r="9" customHeight="1" ht="17.25">
      <c r="A9" s="3" t="s">
        <v>11</v>
      </c>
      <c r="B9" s="3" t="s">
        <v>12</v>
      </c>
      <c r="C9" s="4">
        <v>0.067</v>
      </c>
    </row>
    <row x14ac:dyDescent="0.25" r="10" customHeight="1" ht="17.25">
      <c r="A10" s="3" t="s">
        <v>11</v>
      </c>
      <c r="B10" s="3" t="s">
        <v>4</v>
      </c>
      <c r="C10" s="4">
        <v>0.111</v>
      </c>
    </row>
    <row x14ac:dyDescent="0.25" r="11" customHeight="1" ht="17.25">
      <c r="A11" s="3" t="s">
        <v>11</v>
      </c>
      <c r="B11" s="3" t="s">
        <v>6</v>
      </c>
      <c r="C11" s="4">
        <v>0.111</v>
      </c>
    </row>
    <row x14ac:dyDescent="0.25" r="12" customHeight="1" ht="17.25">
      <c r="A12" s="3" t="s">
        <v>11</v>
      </c>
      <c r="B12" s="3" t="s">
        <v>13</v>
      </c>
      <c r="C12" s="4">
        <v>0.133</v>
      </c>
    </row>
    <row x14ac:dyDescent="0.25" r="13" customHeight="1" ht="17.25">
      <c r="A13" s="3" t="s">
        <v>11</v>
      </c>
      <c r="B13" s="3" t="s">
        <v>7</v>
      </c>
      <c r="C13" s="4">
        <v>0.111</v>
      </c>
    </row>
    <row x14ac:dyDescent="0.25" r="14" customHeight="1" ht="17.25">
      <c r="A14" s="3" t="s">
        <v>11</v>
      </c>
      <c r="B14" s="3" t="s">
        <v>8</v>
      </c>
      <c r="C14" s="4">
        <v>0.067</v>
      </c>
    </row>
    <row x14ac:dyDescent="0.25" r="15" customHeight="1" ht="17.25">
      <c r="A15" s="3" t="s">
        <v>11</v>
      </c>
      <c r="B15" s="3" t="s">
        <v>9</v>
      </c>
      <c r="C15" s="4">
        <v>0.178</v>
      </c>
    </row>
    <row x14ac:dyDescent="0.25" r="16" customHeight="1" ht="17.25">
      <c r="A16" s="3" t="s">
        <v>11</v>
      </c>
      <c r="B16" s="3" t="s">
        <v>10</v>
      </c>
      <c r="C16" s="4">
        <v>0.289</v>
      </c>
    </row>
    <row x14ac:dyDescent="0.25" r="17" customHeight="1" ht="17.25">
      <c r="A17" s="3" t="s">
        <v>14</v>
      </c>
      <c r="B17" s="3" t="s">
        <v>15</v>
      </c>
      <c r="C17" s="4">
        <v>0.077</v>
      </c>
    </row>
    <row x14ac:dyDescent="0.25" r="18" customHeight="1" ht="17.25">
      <c r="A18" s="3" t="s">
        <v>14</v>
      </c>
      <c r="B18" s="3" t="s">
        <v>12</v>
      </c>
      <c r="C18" s="4">
        <v>0.154</v>
      </c>
    </row>
    <row x14ac:dyDescent="0.25" r="19" customHeight="1" ht="17.25">
      <c r="A19" s="3" t="s">
        <v>14</v>
      </c>
      <c r="B19" s="3" t="s">
        <v>5</v>
      </c>
      <c r="C19" s="4">
        <v>0.154</v>
      </c>
    </row>
    <row x14ac:dyDescent="0.25" r="20" customHeight="1" ht="17.25">
      <c r="A20" s="3" t="s">
        <v>14</v>
      </c>
      <c r="B20" s="3" t="s">
        <v>6</v>
      </c>
      <c r="C20" s="4">
        <v>0.077</v>
      </c>
    </row>
    <row x14ac:dyDescent="0.25" r="21" customHeight="1" ht="17.25">
      <c r="A21" s="3" t="s">
        <v>14</v>
      </c>
      <c r="B21" s="3" t="s">
        <v>7</v>
      </c>
      <c r="C21" s="4">
        <v>0.154</v>
      </c>
    </row>
    <row x14ac:dyDescent="0.25" r="22" customHeight="1" ht="17.25">
      <c r="A22" s="3" t="s">
        <v>14</v>
      </c>
      <c r="B22" s="3" t="s">
        <v>8</v>
      </c>
      <c r="C22" s="4">
        <v>0.231</v>
      </c>
    </row>
    <row x14ac:dyDescent="0.25" r="23" customHeight="1" ht="17.25">
      <c r="A23" s="3" t="s">
        <v>14</v>
      </c>
      <c r="B23" s="3" t="s">
        <v>9</v>
      </c>
      <c r="C23" s="4">
        <v>0.154</v>
      </c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4</vt:i4>
      </vt:variant>
    </vt:vector>
  </HeadingPairs>
  <TitlesOfParts>
    <vt:vector baseType="lpstr" size="4">
      <vt:lpstr>Comportamiento Enfriadores Geo</vt:lpstr>
      <vt:lpstr>Top 5 Mayor Invasión</vt:lpstr>
      <vt:lpstr>Tipo Invasión Distruidor</vt:lpstr>
      <vt:lpstr>Mix de Competencia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2026-01-30T20:36:03.878Z</dcterms:created>
  <dcterms:modified xsi:type="dcterms:W3CDTF">2026-01-30T20:36:03.881Z</dcterms:modified>
</cp:coreProperties>
</file>