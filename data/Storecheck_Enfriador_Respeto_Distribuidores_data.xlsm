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luigi/Documents/DataScience_REMOTEdata_Github/01_SC-FEMSA/data/"/>
    </mc:Choice>
  </mc:AlternateContent>
  <xr:revisionPtr revIDLastSave="0" documentId="13_ncr:1_{7E0650FA-2F72-4B4E-87B3-7E3ECF2B9014}" xr6:coauthVersionLast="47" xr6:coauthVersionMax="47" xr10:uidLastSave="{00000000-0000-0000-0000-000000000000}"/>
  <bookViews>
    <workbookView xWindow="0" yWindow="600" windowWidth="28800" windowHeight="16240" xr2:uid="{EF1576D2-85A0-7F4E-9717-CF3FCF93163D}"/>
  </bookViews>
  <sheets>
    <sheet name="Comportamiento Enfriadores Geo" sheetId="1" r:id="rId1"/>
    <sheet name="Top 5 Mayor Invasión" sheetId="3" r:id="rId2"/>
    <sheet name="Tipo Invasión Distruidor" sheetId="2" r:id="rId3"/>
    <sheet name="Mix de Competencia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4" l="1"/>
  <c r="F25" i="3"/>
  <c r="E22" i="3"/>
  <c r="F22" i="3" s="1"/>
  <c r="D24" i="3"/>
  <c r="F24" i="3" s="1"/>
  <c r="D23" i="3"/>
  <c r="F23" i="3" s="1"/>
  <c r="E23" i="3"/>
  <c r="E24" i="3"/>
  <c r="E25" i="3"/>
  <c r="E26" i="3"/>
  <c r="D25" i="3"/>
  <c r="D26" i="3"/>
  <c r="F26" i="3" s="1"/>
  <c r="D22" i="3"/>
  <c r="D32" i="1"/>
  <c r="D31" i="1"/>
  <c r="D33" i="1"/>
  <c r="D34" i="1"/>
  <c r="D35" i="1"/>
  <c r="D36" i="1"/>
  <c r="D30" i="1"/>
  <c r="C32" i="1"/>
  <c r="E32" i="1" s="1"/>
  <c r="C31" i="1"/>
  <c r="E31" i="1" s="1"/>
  <c r="C33" i="1"/>
  <c r="E33" i="1" s="1"/>
  <c r="C34" i="1"/>
  <c r="E34" i="1" s="1"/>
  <c r="C35" i="1"/>
  <c r="E35" i="1" s="1"/>
  <c r="C36" i="1"/>
  <c r="E36" i="1" s="1"/>
  <c r="C30" i="1"/>
  <c r="E30" i="1" s="1"/>
  <c r="F31" i="3"/>
  <c r="F21" i="3"/>
  <c r="F16" i="3"/>
  <c r="F11" i="3"/>
  <c r="F6" i="3"/>
  <c r="F30" i="3"/>
  <c r="F20" i="3"/>
  <c r="F15" i="3"/>
  <c r="F10" i="3"/>
  <c r="F5" i="3"/>
  <c r="F29" i="3"/>
  <c r="F19" i="3"/>
  <c r="F14" i="3"/>
  <c r="F9" i="3"/>
  <c r="F4" i="3"/>
  <c r="F28" i="3"/>
  <c r="F18" i="3"/>
  <c r="F13" i="3"/>
  <c r="F8" i="3"/>
  <c r="F3" i="3"/>
  <c r="F27" i="3"/>
  <c r="F17" i="3"/>
  <c r="F12" i="3"/>
  <c r="F7" i="3"/>
  <c r="F2" i="3"/>
  <c r="E43" i="1"/>
  <c r="E42" i="1"/>
  <c r="E41" i="1"/>
  <c r="E40" i="1"/>
  <c r="E39" i="1"/>
  <c r="E38" i="1"/>
  <c r="E37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<sst xmlns="http://schemas.openxmlformats.org/spreadsheetml/2006/main" count="167" uniqueCount="39">
  <si>
    <t>Zona</t>
  </si>
  <si>
    <t>Categoría</t>
  </si>
  <si>
    <t>Mes 2</t>
  </si>
  <si>
    <t>Levantamientos</t>
  </si>
  <si>
    <t>Mes 1</t>
  </si>
  <si>
    <t>Vs MA</t>
  </si>
  <si>
    <t>Refrigeradores</t>
  </si>
  <si>
    <t>Lleno</t>
  </si>
  <si>
    <t>Invasiones a refrigerador</t>
  </si>
  <si>
    <t>% Refris invadidos</t>
  </si>
  <si>
    <t>Invasión visible</t>
  </si>
  <si>
    <t>Distribuidor</t>
  </si>
  <si>
    <t>vs MA</t>
  </si>
  <si>
    <t>Distribuidor Juan Pérez</t>
  </si>
  <si>
    <t>Distribuidor Luis Gómez</t>
  </si>
  <si>
    <t>Distribuidor Rita Hernández</t>
  </si>
  <si>
    <t>Distruibuidor Erick Zamora</t>
  </si>
  <si>
    <t>Distribuidor José Gutiérrez</t>
  </si>
  <si>
    <t>Invasión a refrigerador</t>
  </si>
  <si>
    <t xml:space="preserve">Tipo de invasión </t>
  </si>
  <si>
    <t xml:space="preserve">Bebidas de la competencia </t>
  </si>
  <si>
    <t>Algún sólido</t>
  </si>
  <si>
    <t>Bebidas alcohólicas</t>
  </si>
  <si>
    <t>Distribuidor Erick Zamora</t>
  </si>
  <si>
    <t>Erick Zamora</t>
  </si>
  <si>
    <t>Juan Pérez</t>
  </si>
  <si>
    <t>Mix de Competencia</t>
  </si>
  <si>
    <t>Jarritos</t>
  </si>
  <si>
    <t>Porcentaje</t>
  </si>
  <si>
    <t>Jumex</t>
  </si>
  <si>
    <t>LALA</t>
  </si>
  <si>
    <t>Energizantes</t>
  </si>
  <si>
    <t>Otro</t>
  </si>
  <si>
    <t>Peñafiel</t>
  </si>
  <si>
    <t>PepsiCo</t>
  </si>
  <si>
    <t>Red Cola</t>
  </si>
  <si>
    <t>Electrolit</t>
  </si>
  <si>
    <t>José Gutiérrez</t>
  </si>
  <si>
    <t>Bonafont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</si>
</sst>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sz val="12"/>
      <color theme="1"/>
      <name val="Helvetica"/>
      <family val="2"/>
    </font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0"/>
      <name val="Aptos Narrow"/>
      <family val="2"/>
    </font>
    <font>
      <sz val="12"/>
      <color theme="1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84A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0">
    <xf numFmtId="0" fontId="0" fillId="0" borderId="0" xfId="0"/>
    <xf numFmtId="10" fontId="0" fillId="0" borderId="0" xfId="1" applyNumberFormat="1" applyFont="1"/>
    <xf numFmtId="10" fontId="0" fillId="0" borderId="0" xfId="0" applyNumberFormat="1"/>
    <xf numFmtId="0" fontId="3" fillId="4" borderId="0" xfId="0" applyFont="1" applyFill="1"/>
    <xf numFmtId="0" fontId="5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5" fillId="0" borderId="0" xfId="0" applyFont="1" applyAlignment="1">
      <alignment horizontal="right" vertical="center"/>
    </xf>
    <xf numFmtId="3" fontId="5" fillId="0" borderId="0" xfId="0" applyNumberFormat="1" applyFont="1" applyAlignment="1">
      <alignment horizontal="right" vertical="center"/>
    </xf>
    <xf numFmtId="10" fontId="5" fillId="0" borderId="0" xfId="1" applyNumberFormat="1" applyFont="1" applyFill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right" vertical="center"/>
    </xf>
  </cellXfs>
  <cellStyles count="2">
    <cellStyle name="Normal" xfId="0" builtinId="0"/>
    <cellStyle name="Porcentaje" xfId="1" builtinId="5"/>
  </cellStyles>
  <dxfs count="11">
    <dxf>
      <font>
        <color theme="0"/>
      </font>
      <fill>
        <patternFill>
          <bgColor rgb="FF00BFFF"/>
        </patternFill>
      </fill>
    </dxf>
    <dxf>
      <font>
        <color theme="0"/>
      </font>
      <fill>
        <patternFill>
          <bgColor rgb="FFAE858D"/>
        </patternFill>
      </fill>
    </dxf>
    <dxf>
      <font>
        <color theme="0"/>
      </font>
      <fill>
        <patternFill>
          <bgColor rgb="FF00FFEE"/>
        </patternFill>
      </fill>
    </dxf>
    <dxf>
      <font>
        <color theme="0"/>
      </font>
      <fill>
        <patternFill>
          <bgColor rgb="FF009580"/>
        </patternFill>
      </fill>
    </dxf>
    <dxf>
      <font>
        <color theme="0"/>
      </font>
      <fill>
        <patternFill>
          <bgColor rgb="FFFFBD00"/>
        </patternFill>
      </fill>
    </dxf>
    <dxf>
      <font>
        <color theme="0"/>
      </font>
      <fill>
        <patternFill>
          <bgColor rgb="FFF17B27"/>
        </patternFill>
      </fill>
    </dxf>
    <dxf>
      <font>
        <color theme="0"/>
      </font>
      <fill>
        <patternFill>
          <bgColor rgb="FF7ED232"/>
        </patternFill>
      </fill>
    </dxf>
    <dxf>
      <font>
        <color theme="0"/>
      </font>
      <fill>
        <patternFill>
          <bgColor rgb="FF00618C"/>
        </patternFill>
      </fill>
    </dxf>
    <dxf>
      <font>
        <color theme="0"/>
      </font>
      <fill>
        <patternFill>
          <bgColor rgb="FFA59FA3"/>
        </patternFill>
      </fill>
    </dxf>
    <dxf>
      <font>
        <color theme="0"/>
      </font>
      <fill>
        <patternFill>
          <bgColor rgb="FF00A1A0"/>
        </patternFill>
      </fill>
    </dxf>
    <dxf>
      <font>
        <color theme="0"/>
      </font>
      <fill>
        <patternFill>
          <bgColor rgb="FFF8B084"/>
        </patternFill>
      </fill>
    </dxf>
  </dxfs>
  <tableStyles count="0" defaultTableStyle="TableStyleMedium2" defaultPivotStyle="PivotStyleLight16"/>
  <colors>
    <mruColors>
      <color rgb="FF00BFFF"/>
      <color rgb="FF0084A9"/>
      <color rgb="FFF8B084"/>
      <color rgb="FF00A1A0"/>
      <color rgb="FFA59FA3"/>
      <color rgb="FF00618C"/>
      <color rgb="FF7ED232"/>
      <color rgb="FFF17B27"/>
      <color rgb="FFFFBD00"/>
      <color rgb="FF0095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ADC23-69E4-304D-BBB9-9F35C8CE109A}">
  <sheetPr codeName="Hoja1"/>
  <dimension ref="A1:H43"/>
  <sheetViews>
    <sheetView tabSelected="1" zoomScale="112" zoomScaleNormal="221" workbookViewId="0">
      <selection activeCell="H12" sqref="H12"/>
    </sheetView>
  </sheetViews>
  <sheetFormatPr baseColWidth="10" defaultRowHeight="16" x14ac:dyDescent="0.2"/>
  <cols>
    <col min="1" max="1" width="5.1640625" bestFit="1" customWidth="1"/>
    <col min="2" max="2" width="24.1640625" bestFit="1" customWidth="1"/>
    <col min="3" max="3" width="7.1640625" bestFit="1" customWidth="1"/>
    <col min="4" max="4" width="7.1640625" style="13" bestFit="1" customWidth="1"/>
    <col min="5" max="6" width="7.83203125" style="13" bestFit="1" customWidth="1"/>
    <col min="8" max="8" width="7.1640625" bestFit="1" customWidth="1"/>
  </cols>
  <sheetData>
    <row r="1" spans="1:5" x14ac:dyDescent="0.2">
      <c r="A1" s="16" t="s">
        <v>0</v>
      </c>
      <c r="B1" s="16" t="s">
        <v>1</v>
      </c>
      <c r="C1" s="16" t="s">
        <v>4</v>
      </c>
      <c r="D1" s="16" t="s">
        <v>2</v>
      </c>
      <c r="E1" s="16" t="s">
        <v>5</v>
      </c>
    </row>
    <row r="2" spans="1:5" x14ac:dyDescent="0.2">
      <c r="A2" s="4">
        <v>1</v>
      </c>
      <c r="B2" s="5" t="s">
        <v>3</v>
      </c>
      <c r="C2" s="10">
        <v>466</v>
      </c>
      <c r="D2" s="10">
        <v>463</v>
      </c>
      <c r="E2" s="10">
        <f>D2-C2</f>
        <v>-3</v>
      </c>
    </row>
    <row r="3" spans="1:5" x14ac:dyDescent="0.2">
      <c r="A3" s="6">
        <v>2</v>
      </c>
      <c r="B3" s="7" t="s">
        <v>3</v>
      </c>
      <c r="C3" s="10">
        <v>385</v>
      </c>
      <c r="D3" s="10">
        <v>381</v>
      </c>
      <c r="E3" s="10">
        <f t="shared" ref="E3:E29" si="0">D3-C3</f>
        <v>-4</v>
      </c>
    </row>
    <row r="4" spans="1:5" x14ac:dyDescent="0.2">
      <c r="A4" s="6">
        <v>3</v>
      </c>
      <c r="B4" s="7" t="s">
        <v>3</v>
      </c>
      <c r="C4" s="10">
        <v>727</v>
      </c>
      <c r="D4" s="10">
        <v>738</v>
      </c>
      <c r="E4" s="10">
        <f t="shared" si="0"/>
        <v>11</v>
      </c>
    </row>
    <row r="5" spans="1:5" x14ac:dyDescent="0.2">
      <c r="A5" s="6">
        <v>4</v>
      </c>
      <c r="B5" s="7" t="s">
        <v>3</v>
      </c>
      <c r="C5" s="10">
        <v>414</v>
      </c>
      <c r="D5" s="10">
        <v>413</v>
      </c>
      <c r="E5" s="10">
        <f t="shared" si="0"/>
        <v>-1</v>
      </c>
    </row>
    <row r="6" spans="1:5" x14ac:dyDescent="0.2">
      <c r="A6" s="6">
        <v>5</v>
      </c>
      <c r="B6" s="7" t="s">
        <v>3</v>
      </c>
      <c r="C6" s="10">
        <v>362</v>
      </c>
      <c r="D6" s="10">
        <v>361</v>
      </c>
      <c r="E6" s="10">
        <f t="shared" si="0"/>
        <v>-1</v>
      </c>
    </row>
    <row r="7" spans="1:5" x14ac:dyDescent="0.2">
      <c r="A7" s="6">
        <v>6</v>
      </c>
      <c r="B7" s="7" t="s">
        <v>3</v>
      </c>
      <c r="C7" s="10">
        <v>417</v>
      </c>
      <c r="D7" s="10">
        <v>410</v>
      </c>
      <c r="E7" s="10">
        <f t="shared" si="0"/>
        <v>-7</v>
      </c>
    </row>
    <row r="8" spans="1:5" x14ac:dyDescent="0.2">
      <c r="A8" s="6">
        <v>7</v>
      </c>
      <c r="B8" s="7" t="s">
        <v>3</v>
      </c>
      <c r="C8" s="10">
        <v>153</v>
      </c>
      <c r="D8" s="10">
        <v>158</v>
      </c>
      <c r="E8" s="10">
        <f t="shared" si="0"/>
        <v>5</v>
      </c>
    </row>
    <row r="9" spans="1:5" x14ac:dyDescent="0.2">
      <c r="A9" s="4">
        <v>1</v>
      </c>
      <c r="B9" s="5" t="s">
        <v>6</v>
      </c>
      <c r="C9" s="10">
        <v>610</v>
      </c>
      <c r="D9" s="10">
        <v>611</v>
      </c>
      <c r="E9" s="10">
        <f t="shared" si="0"/>
        <v>1</v>
      </c>
    </row>
    <row r="10" spans="1:5" x14ac:dyDescent="0.2">
      <c r="A10" s="6">
        <v>2</v>
      </c>
      <c r="B10" s="7" t="s">
        <v>6</v>
      </c>
      <c r="C10" s="10">
        <v>434</v>
      </c>
      <c r="D10" s="10">
        <v>425</v>
      </c>
      <c r="E10" s="10">
        <f t="shared" si="0"/>
        <v>-9</v>
      </c>
    </row>
    <row r="11" spans="1:5" x14ac:dyDescent="0.2">
      <c r="A11" s="6">
        <v>3</v>
      </c>
      <c r="B11" s="7" t="s">
        <v>6</v>
      </c>
      <c r="C11" s="10">
        <v>836</v>
      </c>
      <c r="D11" s="10">
        <v>833</v>
      </c>
      <c r="E11" s="10">
        <f t="shared" si="0"/>
        <v>-3</v>
      </c>
    </row>
    <row r="12" spans="1:5" x14ac:dyDescent="0.2">
      <c r="A12" s="6">
        <v>4</v>
      </c>
      <c r="B12" s="7" t="s">
        <v>6</v>
      </c>
      <c r="C12" s="10">
        <v>503</v>
      </c>
      <c r="D12" s="10">
        <v>486</v>
      </c>
      <c r="E12" s="10">
        <f t="shared" si="0"/>
        <v>-17</v>
      </c>
    </row>
    <row r="13" spans="1:5" x14ac:dyDescent="0.2">
      <c r="A13" s="6">
        <v>5</v>
      </c>
      <c r="B13" s="7" t="s">
        <v>6</v>
      </c>
      <c r="C13" s="10">
        <v>414</v>
      </c>
      <c r="D13" s="10">
        <v>414</v>
      </c>
      <c r="E13" s="10">
        <f t="shared" si="0"/>
        <v>0</v>
      </c>
    </row>
    <row r="14" spans="1:5" x14ac:dyDescent="0.2">
      <c r="A14" s="6">
        <v>6</v>
      </c>
      <c r="B14" s="7" t="s">
        <v>6</v>
      </c>
      <c r="C14" s="10">
        <v>511</v>
      </c>
      <c r="D14" s="10">
        <v>490</v>
      </c>
      <c r="E14" s="10">
        <f t="shared" si="0"/>
        <v>-21</v>
      </c>
    </row>
    <row r="15" spans="1:5" x14ac:dyDescent="0.2">
      <c r="A15" s="6">
        <v>7</v>
      </c>
      <c r="B15" s="7" t="s">
        <v>6</v>
      </c>
      <c r="C15" s="10">
        <v>192</v>
      </c>
      <c r="D15" s="10">
        <v>194</v>
      </c>
      <c r="E15" s="10">
        <f t="shared" si="0"/>
        <v>2</v>
      </c>
    </row>
    <row r="16" spans="1:5" x14ac:dyDescent="0.2">
      <c r="A16" s="4">
        <v>1</v>
      </c>
      <c r="B16" s="5" t="s">
        <v>7</v>
      </c>
      <c r="C16" s="10">
        <v>585</v>
      </c>
      <c r="D16" s="10">
        <v>542</v>
      </c>
      <c r="E16" s="11">
        <f t="shared" si="0"/>
        <v>-43</v>
      </c>
    </row>
    <row r="17" spans="1:8" x14ac:dyDescent="0.2">
      <c r="A17" s="6">
        <v>2</v>
      </c>
      <c r="B17" s="7" t="s">
        <v>7</v>
      </c>
      <c r="C17" s="10">
        <v>387</v>
      </c>
      <c r="D17" s="10">
        <v>357</v>
      </c>
      <c r="E17" s="11">
        <f t="shared" si="0"/>
        <v>-30</v>
      </c>
    </row>
    <row r="18" spans="1:8" x14ac:dyDescent="0.2">
      <c r="A18" s="6">
        <v>3</v>
      </c>
      <c r="B18" s="7" t="s">
        <v>7</v>
      </c>
      <c r="C18" s="10">
        <v>719</v>
      </c>
      <c r="D18" s="10">
        <v>728</v>
      </c>
      <c r="E18" s="11">
        <f t="shared" si="0"/>
        <v>9</v>
      </c>
    </row>
    <row r="19" spans="1:8" x14ac:dyDescent="0.2">
      <c r="A19" s="6">
        <v>4</v>
      </c>
      <c r="B19" s="7" t="s">
        <v>7</v>
      </c>
      <c r="C19" s="10">
        <v>487</v>
      </c>
      <c r="D19" s="10">
        <v>441</v>
      </c>
      <c r="E19" s="11">
        <f t="shared" si="0"/>
        <v>-46</v>
      </c>
    </row>
    <row r="20" spans="1:8" x14ac:dyDescent="0.2">
      <c r="A20" s="6">
        <v>5</v>
      </c>
      <c r="B20" s="7" t="s">
        <v>7</v>
      </c>
      <c r="C20" s="10">
        <v>402</v>
      </c>
      <c r="D20" s="10">
        <v>398</v>
      </c>
      <c r="E20" s="11">
        <f t="shared" si="0"/>
        <v>-4</v>
      </c>
    </row>
    <row r="21" spans="1:8" x14ac:dyDescent="0.2">
      <c r="A21" s="6">
        <v>6</v>
      </c>
      <c r="B21" s="7" t="s">
        <v>7</v>
      </c>
      <c r="C21" s="10">
        <v>447</v>
      </c>
      <c r="D21" s="10">
        <v>429</v>
      </c>
      <c r="E21" s="11">
        <f t="shared" si="0"/>
        <v>-18</v>
      </c>
    </row>
    <row r="22" spans="1:8" x14ac:dyDescent="0.2">
      <c r="A22" s="6">
        <v>7</v>
      </c>
      <c r="B22" s="7" t="s">
        <v>7</v>
      </c>
      <c r="C22" s="10">
        <v>187</v>
      </c>
      <c r="D22" s="10">
        <v>185</v>
      </c>
      <c r="E22" s="11">
        <f t="shared" si="0"/>
        <v>-2</v>
      </c>
    </row>
    <row r="23" spans="1:8" x14ac:dyDescent="0.2">
      <c r="A23" s="8">
        <v>1</v>
      </c>
      <c r="B23" s="9" t="s">
        <v>8</v>
      </c>
      <c r="C23" s="10">
        <v>26</v>
      </c>
      <c r="D23" s="10">
        <v>76</v>
      </c>
      <c r="E23" s="11">
        <f t="shared" si="0"/>
        <v>50</v>
      </c>
    </row>
    <row r="24" spans="1:8" x14ac:dyDescent="0.2">
      <c r="A24" s="6">
        <v>2</v>
      </c>
      <c r="B24" s="7" t="s">
        <v>8</v>
      </c>
      <c r="C24" s="10">
        <v>68</v>
      </c>
      <c r="D24" s="10">
        <v>82</v>
      </c>
      <c r="E24" s="11">
        <f t="shared" si="0"/>
        <v>14</v>
      </c>
    </row>
    <row r="25" spans="1:8" x14ac:dyDescent="0.2">
      <c r="A25" s="6">
        <v>3</v>
      </c>
      <c r="B25" s="7" t="s">
        <v>8</v>
      </c>
      <c r="C25" s="10">
        <v>187</v>
      </c>
      <c r="D25" s="10">
        <v>203</v>
      </c>
      <c r="E25" s="11">
        <f t="shared" si="0"/>
        <v>16</v>
      </c>
    </row>
    <row r="26" spans="1:8" x14ac:dyDescent="0.2">
      <c r="A26" s="6">
        <v>4</v>
      </c>
      <c r="B26" s="7" t="s">
        <v>8</v>
      </c>
      <c r="C26" s="10">
        <v>53</v>
      </c>
      <c r="D26" s="10">
        <v>101</v>
      </c>
      <c r="E26" s="11">
        <f t="shared" si="0"/>
        <v>48</v>
      </c>
    </row>
    <row r="27" spans="1:8" x14ac:dyDescent="0.2">
      <c r="A27" s="6">
        <v>5</v>
      </c>
      <c r="B27" s="7" t="s">
        <v>8</v>
      </c>
      <c r="C27" s="10">
        <v>23</v>
      </c>
      <c r="D27" s="10">
        <v>25</v>
      </c>
      <c r="E27" s="11">
        <f t="shared" si="0"/>
        <v>2</v>
      </c>
    </row>
    <row r="28" spans="1:8" x14ac:dyDescent="0.2">
      <c r="A28" s="6">
        <v>6</v>
      </c>
      <c r="B28" s="7" t="s">
        <v>8</v>
      </c>
      <c r="C28" s="10">
        <v>112</v>
      </c>
      <c r="D28" s="10">
        <v>97</v>
      </c>
      <c r="E28" s="11">
        <f t="shared" si="0"/>
        <v>-15</v>
      </c>
    </row>
    <row r="29" spans="1:8" x14ac:dyDescent="0.2">
      <c r="A29" s="6">
        <v>7</v>
      </c>
      <c r="B29" s="7" t="s">
        <v>8</v>
      </c>
      <c r="C29" s="10">
        <v>9</v>
      </c>
      <c r="D29" s="10">
        <v>11</v>
      </c>
      <c r="E29" s="11">
        <f t="shared" si="0"/>
        <v>2</v>
      </c>
    </row>
    <row r="30" spans="1:8" x14ac:dyDescent="0.2">
      <c r="A30" s="8">
        <v>1</v>
      </c>
      <c r="B30" s="9" t="s">
        <v>9</v>
      </c>
      <c r="C30" s="12">
        <f>$C23/$C9</f>
        <v>4.2622950819672129E-2</v>
      </c>
      <c r="D30" s="12">
        <f>$D23/$D9</f>
        <v>0.12438625204582651</v>
      </c>
      <c r="E30" s="12">
        <f>C30-D30</f>
        <v>-8.1763301226154383E-2</v>
      </c>
    </row>
    <row r="31" spans="1:8" x14ac:dyDescent="0.2">
      <c r="A31" s="6">
        <v>2</v>
      </c>
      <c r="B31" s="7" t="s">
        <v>9</v>
      </c>
      <c r="C31" s="12">
        <f>$C24/$C10</f>
        <v>0.15668202764976957</v>
      </c>
      <c r="D31" s="12">
        <f>$D24/$D10</f>
        <v>0.19294117647058823</v>
      </c>
      <c r="E31" s="12">
        <f t="shared" ref="E31:E36" si="1">C31-D31</f>
        <v>-3.6259148820818654E-2</v>
      </c>
      <c r="H31" s="2"/>
    </row>
    <row r="32" spans="1:8" x14ac:dyDescent="0.2">
      <c r="A32" s="6">
        <v>3</v>
      </c>
      <c r="B32" s="7" t="s">
        <v>9</v>
      </c>
      <c r="C32" s="12">
        <f>$C25/$C11</f>
        <v>0.22368421052631579</v>
      </c>
      <c r="D32" s="12">
        <f>$D25/$D11</f>
        <v>0.24369747899159663</v>
      </c>
      <c r="E32" s="12">
        <f t="shared" si="1"/>
        <v>-2.0013268465280842E-2</v>
      </c>
    </row>
    <row r="33" spans="1:5" x14ac:dyDescent="0.2">
      <c r="A33" s="6">
        <v>4</v>
      </c>
      <c r="B33" s="7" t="s">
        <v>9</v>
      </c>
      <c r="C33" s="12">
        <f>$C26/$C12</f>
        <v>0.10536779324055666</v>
      </c>
      <c r="D33" s="12">
        <f>$D26/$D12</f>
        <v>0.20781893004115226</v>
      </c>
      <c r="E33" s="12">
        <f t="shared" si="1"/>
        <v>-0.1024511368005956</v>
      </c>
    </row>
    <row r="34" spans="1:5" x14ac:dyDescent="0.2">
      <c r="A34" s="6">
        <v>5</v>
      </c>
      <c r="B34" s="7" t="s">
        <v>9</v>
      </c>
      <c r="C34" s="12">
        <f>$C27/$C13</f>
        <v>5.5555555555555552E-2</v>
      </c>
      <c r="D34" s="12">
        <f>$D27/$D13</f>
        <v>6.0386473429951688E-2</v>
      </c>
      <c r="E34" s="12">
        <f t="shared" si="1"/>
        <v>-4.8309178743961359E-3</v>
      </c>
    </row>
    <row r="35" spans="1:5" x14ac:dyDescent="0.2">
      <c r="A35" s="6">
        <v>6</v>
      </c>
      <c r="B35" s="7" t="s">
        <v>9</v>
      </c>
      <c r="C35" s="12">
        <f>$C28/$C14</f>
        <v>0.21917808219178081</v>
      </c>
      <c r="D35" s="12">
        <f>$D28/$D14</f>
        <v>0.19795918367346937</v>
      </c>
      <c r="E35" s="12">
        <f t="shared" si="1"/>
        <v>2.1218898518311435E-2</v>
      </c>
    </row>
    <row r="36" spans="1:5" x14ac:dyDescent="0.2">
      <c r="A36" s="6">
        <v>7</v>
      </c>
      <c r="B36" s="7" t="s">
        <v>9</v>
      </c>
      <c r="C36" s="12">
        <f>$C29/$C15</f>
        <v>4.6875E-2</v>
      </c>
      <c r="D36" s="12">
        <f>$D29/$D15</f>
        <v>5.6701030927835051E-2</v>
      </c>
      <c r="E36" s="12">
        <f t="shared" si="1"/>
        <v>-9.8260309278350513E-3</v>
      </c>
    </row>
    <row r="37" spans="1:5" x14ac:dyDescent="0.2">
      <c r="A37" s="8">
        <v>1</v>
      </c>
      <c r="B37" s="8" t="s">
        <v>10</v>
      </c>
      <c r="C37" s="10">
        <v>26</v>
      </c>
      <c r="D37" s="10">
        <v>72</v>
      </c>
      <c r="E37" s="10">
        <f t="shared" ref="E37:E43" si="2">D37-C37</f>
        <v>46</v>
      </c>
    </row>
    <row r="38" spans="1:5" x14ac:dyDescent="0.2">
      <c r="A38" s="6">
        <v>2</v>
      </c>
      <c r="B38" s="6" t="s">
        <v>10</v>
      </c>
      <c r="C38" s="10">
        <v>60</v>
      </c>
      <c r="D38" s="10">
        <v>70</v>
      </c>
      <c r="E38" s="10">
        <f t="shared" si="2"/>
        <v>10</v>
      </c>
    </row>
    <row r="39" spans="1:5" x14ac:dyDescent="0.2">
      <c r="A39" s="6">
        <v>3</v>
      </c>
      <c r="B39" s="6" t="s">
        <v>10</v>
      </c>
      <c r="C39" s="10">
        <v>171</v>
      </c>
      <c r="D39" s="10">
        <v>190</v>
      </c>
      <c r="E39" s="10">
        <f t="shared" si="2"/>
        <v>19</v>
      </c>
    </row>
    <row r="40" spans="1:5" x14ac:dyDescent="0.2">
      <c r="A40" s="6">
        <v>4</v>
      </c>
      <c r="B40" s="6" t="s">
        <v>10</v>
      </c>
      <c r="C40" s="10">
        <v>49</v>
      </c>
      <c r="D40" s="10">
        <v>97</v>
      </c>
      <c r="E40" s="10">
        <f t="shared" si="2"/>
        <v>48</v>
      </c>
    </row>
    <row r="41" spans="1:5" x14ac:dyDescent="0.2">
      <c r="A41" s="6">
        <v>5</v>
      </c>
      <c r="B41" s="6" t="s">
        <v>10</v>
      </c>
      <c r="C41" s="10">
        <v>16</v>
      </c>
      <c r="D41" s="10">
        <v>22</v>
      </c>
      <c r="E41" s="10">
        <f t="shared" si="2"/>
        <v>6</v>
      </c>
    </row>
    <row r="42" spans="1:5" x14ac:dyDescent="0.2">
      <c r="A42" s="6">
        <v>6</v>
      </c>
      <c r="B42" s="6" t="s">
        <v>10</v>
      </c>
      <c r="C42" s="10">
        <v>93</v>
      </c>
      <c r="D42" s="10">
        <v>80</v>
      </c>
      <c r="E42" s="10">
        <f t="shared" si="2"/>
        <v>-13</v>
      </c>
    </row>
    <row r="43" spans="1:5" x14ac:dyDescent="0.2">
      <c r="A43" s="6">
        <v>7</v>
      </c>
      <c r="B43" s="6" t="s">
        <v>10</v>
      </c>
      <c r="C43" s="10">
        <v>7</v>
      </c>
      <c r="D43" s="10">
        <v>8</v>
      </c>
      <c r="E43" s="10">
        <f t="shared" si="2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040B1-4760-E247-8652-1F7B49DE000B}">
  <sheetPr codeName="Hoja3"/>
  <dimension ref="A1:R31"/>
  <sheetViews>
    <sheetView zoomScale="106" zoomScaleNormal="177" workbookViewId="0">
      <selection sqref="A1:F31"/>
    </sheetView>
  </sheetViews>
  <sheetFormatPr baseColWidth="10" defaultRowHeight="16" x14ac:dyDescent="0.2"/>
  <cols>
    <col min="1" max="1" width="5.1640625" style="18" bestFit="1" customWidth="1"/>
    <col min="2" max="2" width="23.83203125" bestFit="1" customWidth="1"/>
    <col min="3" max="3" width="19.33203125" style="13" bestFit="1" customWidth="1"/>
    <col min="4" max="5" width="7.5" style="13" bestFit="1" customWidth="1"/>
    <col min="6" max="6" width="8.1640625" style="13" bestFit="1" customWidth="1"/>
    <col min="7" max="8" width="5.83203125" bestFit="1" customWidth="1"/>
    <col min="9" max="9" width="5.6640625" bestFit="1" customWidth="1"/>
    <col min="10" max="11" width="5.83203125" bestFit="1" customWidth="1"/>
    <col min="12" max="12" width="5.6640625" bestFit="1" customWidth="1"/>
    <col min="13" max="14" width="5.83203125" bestFit="1" customWidth="1"/>
    <col min="15" max="15" width="5.6640625" bestFit="1" customWidth="1"/>
    <col min="16" max="17" width="5.83203125" bestFit="1" customWidth="1"/>
    <col min="18" max="18" width="5.6640625" bestFit="1" customWidth="1"/>
    <col min="19" max="20" width="5.83203125" bestFit="1" customWidth="1"/>
    <col min="21" max="21" width="5.6640625" bestFit="1" customWidth="1"/>
  </cols>
  <sheetData>
    <row r="1" spans="1:18" x14ac:dyDescent="0.2">
      <c r="A1" s="17" t="s">
        <v>0</v>
      </c>
      <c r="B1" s="17" t="s">
        <v>11</v>
      </c>
      <c r="C1" s="17" t="s">
        <v>1</v>
      </c>
      <c r="D1" s="17" t="s">
        <v>4</v>
      </c>
      <c r="E1" s="17" t="s">
        <v>2</v>
      </c>
      <c r="F1" s="17" t="s">
        <v>12</v>
      </c>
    </row>
    <row r="2" spans="1:18" x14ac:dyDescent="0.2">
      <c r="A2" s="18">
        <v>1</v>
      </c>
      <c r="B2" s="14" t="s">
        <v>13</v>
      </c>
      <c r="C2" s="15" t="s">
        <v>3</v>
      </c>
      <c r="D2" s="15">
        <v>44</v>
      </c>
      <c r="E2" s="15">
        <v>46</v>
      </c>
      <c r="F2" s="15">
        <f>E2-D2</f>
        <v>2</v>
      </c>
    </row>
    <row r="3" spans="1:18" x14ac:dyDescent="0.2">
      <c r="A3" s="18">
        <v>2</v>
      </c>
      <c r="B3" s="14" t="s">
        <v>14</v>
      </c>
      <c r="C3" s="15" t="s">
        <v>3</v>
      </c>
      <c r="D3" s="15">
        <v>40</v>
      </c>
      <c r="E3" s="15">
        <v>39</v>
      </c>
      <c r="F3" s="15">
        <f t="shared" ref="F3:F6" si="0">E3-D3</f>
        <v>-1</v>
      </c>
      <c r="P3" s="1"/>
      <c r="Q3" s="1"/>
      <c r="R3" s="2"/>
    </row>
    <row r="4" spans="1:18" x14ac:dyDescent="0.2">
      <c r="A4" s="18">
        <v>3</v>
      </c>
      <c r="B4" s="14" t="s">
        <v>15</v>
      </c>
      <c r="C4" s="15" t="s">
        <v>3</v>
      </c>
      <c r="D4" s="15">
        <v>33</v>
      </c>
      <c r="E4" s="15">
        <v>35</v>
      </c>
      <c r="F4" s="15">
        <f t="shared" si="0"/>
        <v>2</v>
      </c>
      <c r="P4" s="1"/>
      <c r="Q4" s="1"/>
      <c r="R4" s="2"/>
    </row>
    <row r="5" spans="1:18" x14ac:dyDescent="0.2">
      <c r="A5" s="18">
        <v>4</v>
      </c>
      <c r="B5" s="14" t="s">
        <v>16</v>
      </c>
      <c r="C5" s="15" t="s">
        <v>3</v>
      </c>
      <c r="D5" s="15">
        <v>30</v>
      </c>
      <c r="E5" s="15">
        <v>29</v>
      </c>
      <c r="F5" s="15">
        <f t="shared" si="0"/>
        <v>-1</v>
      </c>
      <c r="P5" s="1"/>
      <c r="Q5" s="1"/>
      <c r="R5" s="2"/>
    </row>
    <row r="6" spans="1:18" x14ac:dyDescent="0.2">
      <c r="A6" s="18">
        <v>4</v>
      </c>
      <c r="B6" s="14" t="s">
        <v>17</v>
      </c>
      <c r="C6" s="15" t="s">
        <v>3</v>
      </c>
      <c r="D6" s="15">
        <v>35</v>
      </c>
      <c r="E6" s="15">
        <v>35</v>
      </c>
      <c r="F6" s="15">
        <f t="shared" si="0"/>
        <v>0</v>
      </c>
      <c r="P6" s="1"/>
      <c r="Q6" s="1"/>
      <c r="R6" s="2"/>
    </row>
    <row r="7" spans="1:18" x14ac:dyDescent="0.2">
      <c r="A7" s="18">
        <v>1</v>
      </c>
      <c r="B7" s="14" t="s">
        <v>13</v>
      </c>
      <c r="C7" s="15" t="s">
        <v>6</v>
      </c>
      <c r="D7" s="15">
        <v>48</v>
      </c>
      <c r="E7" s="15">
        <v>47</v>
      </c>
      <c r="F7" s="15">
        <f>E7-D7</f>
        <v>-1</v>
      </c>
      <c r="P7" s="1"/>
      <c r="Q7" s="1"/>
      <c r="R7" s="2"/>
    </row>
    <row r="8" spans="1:18" x14ac:dyDescent="0.2">
      <c r="A8" s="18">
        <v>2</v>
      </c>
      <c r="B8" s="14" t="s">
        <v>14</v>
      </c>
      <c r="C8" s="15" t="s">
        <v>6</v>
      </c>
      <c r="D8" s="15">
        <v>45</v>
      </c>
      <c r="E8" s="15">
        <v>45</v>
      </c>
      <c r="F8" s="15">
        <f t="shared" ref="F8:F11" si="1">E8-D8</f>
        <v>0</v>
      </c>
    </row>
    <row r="9" spans="1:18" x14ac:dyDescent="0.2">
      <c r="A9" s="18">
        <v>3</v>
      </c>
      <c r="B9" s="14" t="s">
        <v>15</v>
      </c>
      <c r="C9" s="15" t="s">
        <v>6</v>
      </c>
      <c r="D9" s="15">
        <v>48</v>
      </c>
      <c r="E9" s="15">
        <v>43</v>
      </c>
      <c r="F9" s="15">
        <f t="shared" si="1"/>
        <v>-5</v>
      </c>
    </row>
    <row r="10" spans="1:18" x14ac:dyDescent="0.2">
      <c r="A10" s="18">
        <v>4</v>
      </c>
      <c r="B10" s="14" t="s">
        <v>16</v>
      </c>
      <c r="C10" s="15" t="s">
        <v>6</v>
      </c>
      <c r="D10" s="15">
        <v>38</v>
      </c>
      <c r="E10" s="15">
        <v>34</v>
      </c>
      <c r="F10" s="15">
        <f t="shared" si="1"/>
        <v>-4</v>
      </c>
    </row>
    <row r="11" spans="1:18" x14ac:dyDescent="0.2">
      <c r="A11" s="18">
        <v>4</v>
      </c>
      <c r="B11" s="14" t="s">
        <v>17</v>
      </c>
      <c r="C11" s="15" t="s">
        <v>6</v>
      </c>
      <c r="D11" s="15">
        <v>45</v>
      </c>
      <c r="E11" s="15">
        <v>36</v>
      </c>
      <c r="F11" s="15">
        <f t="shared" si="1"/>
        <v>-9</v>
      </c>
    </row>
    <row r="12" spans="1:18" x14ac:dyDescent="0.2">
      <c r="A12" s="18">
        <v>1</v>
      </c>
      <c r="B12" s="14" t="s">
        <v>13</v>
      </c>
      <c r="C12" s="15" t="s">
        <v>7</v>
      </c>
      <c r="D12" s="15">
        <v>41</v>
      </c>
      <c r="E12" s="15">
        <v>6</v>
      </c>
      <c r="F12" s="15">
        <f>E12-D12</f>
        <v>-35</v>
      </c>
    </row>
    <row r="13" spans="1:18" x14ac:dyDescent="0.2">
      <c r="A13" s="18">
        <v>2</v>
      </c>
      <c r="B13" s="14" t="s">
        <v>14</v>
      </c>
      <c r="C13" s="15" t="s">
        <v>7</v>
      </c>
      <c r="D13" s="15">
        <v>40</v>
      </c>
      <c r="E13" s="15">
        <v>33</v>
      </c>
      <c r="F13" s="15">
        <f t="shared" ref="F13:F16" si="2">E13-D13</f>
        <v>-7</v>
      </c>
    </row>
    <row r="14" spans="1:18" x14ac:dyDescent="0.2">
      <c r="A14" s="18">
        <v>3</v>
      </c>
      <c r="B14" s="14" t="s">
        <v>15</v>
      </c>
      <c r="C14" s="15" t="s">
        <v>7</v>
      </c>
      <c r="D14" s="15">
        <v>44</v>
      </c>
      <c r="E14" s="15">
        <v>39</v>
      </c>
      <c r="F14" s="15">
        <f t="shared" si="2"/>
        <v>-5</v>
      </c>
    </row>
    <row r="15" spans="1:18" x14ac:dyDescent="0.2">
      <c r="A15" s="18">
        <v>4</v>
      </c>
      <c r="B15" s="14" t="s">
        <v>16</v>
      </c>
      <c r="C15" s="15" t="s">
        <v>7</v>
      </c>
      <c r="D15" s="15">
        <v>38</v>
      </c>
      <c r="E15" s="15">
        <v>19</v>
      </c>
      <c r="F15" s="15">
        <f t="shared" si="2"/>
        <v>-19</v>
      </c>
    </row>
    <row r="16" spans="1:18" x14ac:dyDescent="0.2">
      <c r="A16" s="18">
        <v>4</v>
      </c>
      <c r="B16" s="14" t="s">
        <v>17</v>
      </c>
      <c r="C16" s="15" t="s">
        <v>7</v>
      </c>
      <c r="D16" s="15">
        <v>45</v>
      </c>
      <c r="E16" s="15">
        <v>27</v>
      </c>
      <c r="F16" s="15">
        <f t="shared" si="2"/>
        <v>-18</v>
      </c>
    </row>
    <row r="17" spans="1:6" x14ac:dyDescent="0.2">
      <c r="A17" s="18">
        <v>1</v>
      </c>
      <c r="B17" s="14" t="s">
        <v>13</v>
      </c>
      <c r="C17" s="15" t="s">
        <v>18</v>
      </c>
      <c r="D17" s="15">
        <v>0</v>
      </c>
      <c r="E17" s="15">
        <v>46</v>
      </c>
      <c r="F17" s="15">
        <f>E17-D17</f>
        <v>46</v>
      </c>
    </row>
    <row r="18" spans="1:6" x14ac:dyDescent="0.2">
      <c r="A18" s="18">
        <v>2</v>
      </c>
      <c r="B18" s="14" t="s">
        <v>14</v>
      </c>
      <c r="C18" s="15" t="s">
        <v>18</v>
      </c>
      <c r="D18" s="15">
        <v>7</v>
      </c>
      <c r="E18" s="15">
        <v>18</v>
      </c>
      <c r="F18" s="15">
        <f t="shared" ref="F18:F21" si="3">E18-D18</f>
        <v>11</v>
      </c>
    </row>
    <row r="19" spans="1:6" x14ac:dyDescent="0.2">
      <c r="A19" s="18">
        <v>3</v>
      </c>
      <c r="B19" s="14" t="s">
        <v>15</v>
      </c>
      <c r="C19" s="15" t="s">
        <v>18</v>
      </c>
      <c r="D19" s="15">
        <v>10</v>
      </c>
      <c r="E19" s="15">
        <v>20</v>
      </c>
      <c r="F19" s="15">
        <f t="shared" si="3"/>
        <v>10</v>
      </c>
    </row>
    <row r="20" spans="1:6" x14ac:dyDescent="0.2">
      <c r="A20" s="18">
        <v>4</v>
      </c>
      <c r="B20" s="14" t="s">
        <v>16</v>
      </c>
      <c r="C20" s="15" t="s">
        <v>18</v>
      </c>
      <c r="D20" s="15">
        <v>0</v>
      </c>
      <c r="E20" s="15">
        <v>27</v>
      </c>
      <c r="F20" s="15">
        <f t="shared" si="3"/>
        <v>27</v>
      </c>
    </row>
    <row r="21" spans="1:6" x14ac:dyDescent="0.2">
      <c r="A21" s="18">
        <v>4</v>
      </c>
      <c r="B21" s="14" t="s">
        <v>17</v>
      </c>
      <c r="C21" s="15" t="s">
        <v>18</v>
      </c>
      <c r="D21" s="15">
        <v>0</v>
      </c>
      <c r="E21" s="15">
        <v>16</v>
      </c>
      <c r="F21" s="15">
        <f t="shared" si="3"/>
        <v>16</v>
      </c>
    </row>
    <row r="22" spans="1:6" x14ac:dyDescent="0.2">
      <c r="A22" s="18">
        <v>1</v>
      </c>
      <c r="B22" s="14" t="s">
        <v>13</v>
      </c>
      <c r="C22" s="15" t="s">
        <v>9</v>
      </c>
      <c r="D22" s="19">
        <f>$D17/$D7</f>
        <v>0</v>
      </c>
      <c r="E22" s="19">
        <f>$E17/$E7</f>
        <v>0.97872340425531912</v>
      </c>
      <c r="F22" s="19">
        <f>D22-E22</f>
        <v>-0.97872340425531912</v>
      </c>
    </row>
    <row r="23" spans="1:6" x14ac:dyDescent="0.2">
      <c r="A23" s="18">
        <v>2</v>
      </c>
      <c r="B23" s="14" t="s">
        <v>14</v>
      </c>
      <c r="C23" s="15" t="s">
        <v>9</v>
      </c>
      <c r="D23" s="19">
        <f>$D18/$D8</f>
        <v>0.15555555555555556</v>
      </c>
      <c r="E23" s="19">
        <f>$E18/$E8</f>
        <v>0.4</v>
      </c>
      <c r="F23" s="19">
        <f t="shared" ref="F23:F26" si="4">D23-E23</f>
        <v>-0.24444444444444446</v>
      </c>
    </row>
    <row r="24" spans="1:6" x14ac:dyDescent="0.2">
      <c r="A24" s="18">
        <v>3</v>
      </c>
      <c r="B24" s="14" t="s">
        <v>15</v>
      </c>
      <c r="C24" s="15" t="s">
        <v>9</v>
      </c>
      <c r="D24" s="19">
        <f>$D19/$D9</f>
        <v>0.20833333333333334</v>
      </c>
      <c r="E24" s="19">
        <f>$E19/$E9</f>
        <v>0.46511627906976744</v>
      </c>
      <c r="F24" s="19">
        <f t="shared" si="4"/>
        <v>-0.25678294573643412</v>
      </c>
    </row>
    <row r="25" spans="1:6" x14ac:dyDescent="0.2">
      <c r="A25" s="18">
        <v>4</v>
      </c>
      <c r="B25" s="14" t="s">
        <v>16</v>
      </c>
      <c r="C25" s="15" t="s">
        <v>9</v>
      </c>
      <c r="D25" s="19">
        <f>$D20/$D10</f>
        <v>0</v>
      </c>
      <c r="E25" s="19">
        <f>$E20/$E10</f>
        <v>0.79411764705882348</v>
      </c>
      <c r="F25" s="19">
        <f t="shared" si="4"/>
        <v>-0.79411764705882348</v>
      </c>
    </row>
    <row r="26" spans="1:6" x14ac:dyDescent="0.2">
      <c r="A26" s="18">
        <v>4</v>
      </c>
      <c r="B26" s="14" t="s">
        <v>17</v>
      </c>
      <c r="C26" s="15" t="s">
        <v>9</v>
      </c>
      <c r="D26" s="19">
        <f>$D21/$D11</f>
        <v>0</v>
      </c>
      <c r="E26" s="19">
        <f>$E21/$E11</f>
        <v>0.44444444444444442</v>
      </c>
      <c r="F26" s="19">
        <f t="shared" si="4"/>
        <v>-0.44444444444444442</v>
      </c>
    </row>
    <row r="27" spans="1:6" x14ac:dyDescent="0.2">
      <c r="A27" s="18">
        <v>1</v>
      </c>
      <c r="B27" s="14" t="s">
        <v>13</v>
      </c>
      <c r="C27" s="15" t="s">
        <v>10</v>
      </c>
      <c r="D27" s="15">
        <v>0</v>
      </c>
      <c r="E27" s="15">
        <v>45</v>
      </c>
      <c r="F27" s="15">
        <f>E27-D27</f>
        <v>45</v>
      </c>
    </row>
    <row r="28" spans="1:6" x14ac:dyDescent="0.2">
      <c r="A28" s="18">
        <v>2</v>
      </c>
      <c r="B28" s="14" t="s">
        <v>14</v>
      </c>
      <c r="C28" s="15" t="s">
        <v>10</v>
      </c>
      <c r="D28" s="15">
        <v>5</v>
      </c>
      <c r="E28" s="15">
        <v>14</v>
      </c>
      <c r="F28" s="15">
        <f t="shared" ref="F28:F31" si="5">E28-D28</f>
        <v>9</v>
      </c>
    </row>
    <row r="29" spans="1:6" x14ac:dyDescent="0.2">
      <c r="A29" s="18">
        <v>3</v>
      </c>
      <c r="B29" s="14" t="s">
        <v>15</v>
      </c>
      <c r="C29" s="15" t="s">
        <v>10</v>
      </c>
      <c r="D29" s="15">
        <v>8</v>
      </c>
      <c r="E29" s="15">
        <v>19</v>
      </c>
      <c r="F29" s="15">
        <f t="shared" si="5"/>
        <v>11</v>
      </c>
    </row>
    <row r="30" spans="1:6" x14ac:dyDescent="0.2">
      <c r="A30" s="18">
        <v>4</v>
      </c>
      <c r="B30" s="14" t="s">
        <v>16</v>
      </c>
      <c r="C30" s="15" t="s">
        <v>10</v>
      </c>
      <c r="D30" s="15">
        <v>0</v>
      </c>
      <c r="E30" s="15">
        <v>27</v>
      </c>
      <c r="F30" s="15">
        <f t="shared" si="5"/>
        <v>27</v>
      </c>
    </row>
    <row r="31" spans="1:6" x14ac:dyDescent="0.2">
      <c r="A31" s="18">
        <v>4</v>
      </c>
      <c r="B31" s="14" t="s">
        <v>17</v>
      </c>
      <c r="C31" s="15" t="s">
        <v>10</v>
      </c>
      <c r="D31" s="15">
        <v>0</v>
      </c>
      <c r="E31" s="15">
        <v>16</v>
      </c>
      <c r="F31" s="15">
        <f t="shared" si="5"/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FD341-225F-FC4C-91A1-9C92BCEB5C99}">
  <sheetPr codeName="Hoja2"/>
  <dimension ref="A1:D4"/>
  <sheetViews>
    <sheetView zoomScale="106" zoomScaleNormal="180" workbookViewId="0">
      <selection sqref="A1:D4"/>
    </sheetView>
  </sheetViews>
  <sheetFormatPr baseColWidth="10" defaultRowHeight="16" x14ac:dyDescent="0.2"/>
  <cols>
    <col min="1" max="1" width="23.5" bestFit="1" customWidth="1"/>
    <col min="2" max="2" width="22" bestFit="1" customWidth="1"/>
    <col min="3" max="3" width="19.83203125" bestFit="1" customWidth="1"/>
    <col min="4" max="4" width="22.6640625" bestFit="1" customWidth="1"/>
  </cols>
  <sheetData>
    <row r="1" spans="1:4" x14ac:dyDescent="0.2">
      <c r="A1" s="3" t="s">
        <v>19</v>
      </c>
      <c r="B1" s="3" t="s">
        <v>23</v>
      </c>
      <c r="C1" s="3" t="s">
        <v>13</v>
      </c>
      <c r="D1" s="3" t="s">
        <v>17</v>
      </c>
    </row>
    <row r="2" spans="1:4" x14ac:dyDescent="0.2">
      <c r="A2" t="s">
        <v>20</v>
      </c>
      <c r="B2" s="2">
        <v>0.48899999999999999</v>
      </c>
      <c r="C2" s="2">
        <v>0.68200000000000005</v>
      </c>
      <c r="D2" s="2">
        <v>0.59099999999999997</v>
      </c>
    </row>
    <row r="3" spans="1:4" x14ac:dyDescent="0.2">
      <c r="A3" t="s">
        <v>21</v>
      </c>
      <c r="B3" s="2">
        <v>0.33300000000000002</v>
      </c>
      <c r="C3" s="2">
        <v>0.182</v>
      </c>
      <c r="D3" s="2">
        <v>0.318</v>
      </c>
    </row>
    <row r="4" spans="1:4" x14ac:dyDescent="0.2">
      <c r="A4" t="s">
        <v>22</v>
      </c>
      <c r="B4" s="2">
        <v>0.17799999999999999</v>
      </c>
      <c r="C4" s="2">
        <v>0.13600000000000001</v>
      </c>
      <c r="D4" s="2">
        <v>9.0999999999999998E-2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FFED3-BCCD-2E41-9EA3-886C957CA038}">
  <sheetPr codeName="Hoja4"/>
  <dimension ref="A1:C23"/>
  <sheetViews>
    <sheetView zoomScale="152" zoomScaleNormal="152" workbookViewId="0"/>
  </sheetViews>
  <sheetFormatPr baseColWidth="10" defaultRowHeight="16" x14ac:dyDescent="0.2"/>
  <cols>
    <col min="1" max="1" width="12.33203125" bestFit="1" customWidth="1"/>
    <col min="2" max="2" width="17.83203125" bestFit="1" customWidth="1"/>
    <col min="3" max="3" width="10" bestFit="1" customWidth="1"/>
  </cols>
  <sheetData>
    <row r="1" spans="1:3" x14ac:dyDescent="0.2">
      <c r="A1" s="3" t="s">
        <v>11</v>
      </c>
      <c r="B1" s="3" t="s">
        <v>26</v>
      </c>
      <c r="C1" s="3" t="s">
        <v>28</v>
      </c>
    </row>
    <row r="2" spans="1:3" x14ac:dyDescent="0.2">
      <c r="A2" t="s">
        <v>24</v>
      </c>
      <c r="B2" t="s">
        <v>27</v>
      </c>
      <c r="C2" s="2">
        <f>13.6/100</f>
        <v>0.13600000000000001</v>
      </c>
    </row>
    <row r="3" spans="1:3" x14ac:dyDescent="0.2">
      <c r="A3" t="s">
        <v>24</v>
      </c>
      <c r="B3" t="s">
        <v>29</v>
      </c>
      <c r="C3" s="2">
        <v>0.182</v>
      </c>
    </row>
    <row r="4" spans="1:3" x14ac:dyDescent="0.2">
      <c r="A4" t="s">
        <v>24</v>
      </c>
      <c r="B4" t="s">
        <v>30</v>
      </c>
      <c r="C4" s="2">
        <v>4.4999999999999998E-2</v>
      </c>
    </row>
    <row r="5" spans="1:3" x14ac:dyDescent="0.2">
      <c r="A5" t="s">
        <v>24</v>
      </c>
      <c r="B5" t="s">
        <v>31</v>
      </c>
      <c r="C5" s="2">
        <v>4.4999999999999998E-2</v>
      </c>
    </row>
    <row r="6" spans="1:3" x14ac:dyDescent="0.2">
      <c r="A6" t="s">
        <v>24</v>
      </c>
      <c r="B6" t="s">
        <v>32</v>
      </c>
      <c r="C6" s="2">
        <v>0.182</v>
      </c>
    </row>
    <row r="7" spans="1:3" x14ac:dyDescent="0.2">
      <c r="A7" t="s">
        <v>24</v>
      </c>
      <c r="B7" t="s">
        <v>33</v>
      </c>
      <c r="C7" s="2">
        <v>0.13600000000000001</v>
      </c>
    </row>
    <row r="8" spans="1:3" x14ac:dyDescent="0.2">
      <c r="A8" t="s">
        <v>24</v>
      </c>
      <c r="B8" t="s">
        <v>34</v>
      </c>
      <c r="C8" s="2">
        <v>0.27300000000000002</v>
      </c>
    </row>
    <row r="9" spans="1:3" x14ac:dyDescent="0.2">
      <c r="A9" t="s">
        <v>25</v>
      </c>
      <c r="B9" t="s">
        <v>35</v>
      </c>
      <c r="C9" s="2">
        <v>6.7000000000000004E-2</v>
      </c>
    </row>
    <row r="10" spans="1:3" x14ac:dyDescent="0.2">
      <c r="A10" t="s">
        <v>25</v>
      </c>
      <c r="B10" t="s">
        <v>27</v>
      </c>
      <c r="C10" s="2">
        <v>0.111</v>
      </c>
    </row>
    <row r="11" spans="1:3" x14ac:dyDescent="0.2">
      <c r="A11" t="s">
        <v>25</v>
      </c>
      <c r="B11" t="s">
        <v>30</v>
      </c>
      <c r="C11" s="2">
        <v>0.111</v>
      </c>
    </row>
    <row r="12" spans="1:3" x14ac:dyDescent="0.2">
      <c r="A12" t="s">
        <v>25</v>
      </c>
      <c r="B12" t="s">
        <v>36</v>
      </c>
      <c r="C12" s="2">
        <v>0.13300000000000001</v>
      </c>
    </row>
    <row r="13" spans="1:3" x14ac:dyDescent="0.2">
      <c r="A13" t="s">
        <v>25</v>
      </c>
      <c r="B13" t="s">
        <v>31</v>
      </c>
      <c r="C13" s="2">
        <v>0.111</v>
      </c>
    </row>
    <row r="14" spans="1:3" x14ac:dyDescent="0.2">
      <c r="A14" t="s">
        <v>25</v>
      </c>
      <c r="B14" t="s">
        <v>32</v>
      </c>
      <c r="C14" s="2">
        <v>6.7000000000000004E-2</v>
      </c>
    </row>
    <row r="15" spans="1:3" x14ac:dyDescent="0.2">
      <c r="A15" t="s">
        <v>25</v>
      </c>
      <c r="B15" t="s">
        <v>33</v>
      </c>
      <c r="C15" s="2">
        <v>0.17799999999999999</v>
      </c>
    </row>
    <row r="16" spans="1:3" x14ac:dyDescent="0.2">
      <c r="A16" t="s">
        <v>25</v>
      </c>
      <c r="B16" t="s">
        <v>34</v>
      </c>
      <c r="C16" s="2">
        <v>0.28899999999999998</v>
      </c>
    </row>
    <row r="17" spans="1:3" x14ac:dyDescent="0.2">
      <c r="A17" t="s">
        <v>37</v>
      </c>
      <c r="B17" t="s">
        <v>38</v>
      </c>
      <c r="C17" s="2">
        <v>7.6999999999999999E-2</v>
      </c>
    </row>
    <row r="18" spans="1:3" x14ac:dyDescent="0.2">
      <c r="A18" t="s">
        <v>37</v>
      </c>
      <c r="B18" t="s">
        <v>35</v>
      </c>
      <c r="C18" s="2">
        <v>0.154</v>
      </c>
    </row>
    <row r="19" spans="1:3" x14ac:dyDescent="0.2">
      <c r="A19" t="s">
        <v>37</v>
      </c>
      <c r="B19" t="s">
        <v>29</v>
      </c>
      <c r="C19" s="2">
        <v>0.154</v>
      </c>
    </row>
    <row r="20" spans="1:3" x14ac:dyDescent="0.2">
      <c r="A20" t="s">
        <v>37</v>
      </c>
      <c r="B20" t="s">
        <v>30</v>
      </c>
      <c r="C20" s="2">
        <v>7.6999999999999999E-2</v>
      </c>
    </row>
    <row r="21" spans="1:3" x14ac:dyDescent="0.2">
      <c r="A21" t="s">
        <v>37</v>
      </c>
      <c r="B21" t="s">
        <v>31</v>
      </c>
      <c r="C21" s="2">
        <v>0.154</v>
      </c>
    </row>
    <row r="22" spans="1:3" x14ac:dyDescent="0.2">
      <c r="A22" t="s">
        <v>37</v>
      </c>
      <c r="B22" t="s">
        <v>32</v>
      </c>
      <c r="C22" s="2">
        <v>0.23100000000000001</v>
      </c>
    </row>
    <row r="23" spans="1:3" x14ac:dyDescent="0.2">
      <c r="A23" t="s">
        <v>37</v>
      </c>
      <c r="B23" t="s">
        <v>33</v>
      </c>
      <c r="C23" s="2">
        <v>0.154</v>
      </c>
    </row>
  </sheetData>
  <conditionalFormatting sqref="B25:B1048576 B1:B23">
    <cfRule type="containsText" dxfId="10" priority="2" operator="containsText" text="Bonafont">
      <formula>NOT(ISERROR(SEARCH("Bonafont",B1)))</formula>
    </cfRule>
    <cfRule type="containsText" dxfId="9" priority="3" operator="containsText" text="Electrolit">
      <formula>NOT(ISERROR(SEARCH("Electrolit",B1)))</formula>
    </cfRule>
    <cfRule type="containsText" dxfId="8" priority="4" operator="containsText" text="Red Cola">
      <formula>NOT(ISERROR(SEARCH("Red Cola",B1)))</formula>
    </cfRule>
    <cfRule type="containsText" dxfId="7" priority="5" operator="containsText" text="PepsiCo">
      <formula>NOT(ISERROR(SEARCH("PepsiCo",B1)))</formula>
    </cfRule>
    <cfRule type="containsText" dxfId="6" priority="6" operator="containsText" text="Peñafiel">
      <formula>NOT(ISERROR(SEARCH("Peñafiel",B1)))</formula>
    </cfRule>
    <cfRule type="containsText" dxfId="5" priority="7" operator="containsText" text="Otro">
      <formula>NOT(ISERROR(SEARCH("Otro",B1)))</formula>
    </cfRule>
    <cfRule type="containsText" dxfId="4" priority="9" operator="containsText" text="Energizantes">
      <formula>NOT(ISERROR(SEARCH("Energizantes",B1)))</formula>
    </cfRule>
    <cfRule type="containsText" dxfId="3" priority="10" operator="containsText" text="LALA">
      <formula>NOT(ISERROR(SEARCH("LALA",B1)))</formula>
    </cfRule>
    <cfRule type="containsText" dxfId="2" priority="12" operator="containsText" text="Jumex">
      <formula>NOT(ISERROR(SEARCH("Jumex",B1)))</formula>
    </cfRule>
    <cfRule type="containsText" dxfId="1" priority="13" operator="containsText" text="Jarritos">
      <formula>NOT(ISERROR(SEARCH("Jarritos",B1)))</formula>
    </cfRule>
  </conditionalFormatting>
  <conditionalFormatting sqref="B25:B1048576 B2:B23">
    <cfRule type="containsText" dxfId="0" priority="1" operator="containsText" text="Arizona">
      <formula>NOT(ISERROR(SEARCH("Arizona",B2)))</formula>
    </cfRule>
  </conditionalFormatting>
  <dataValidations count="1">
    <dataValidation type="list" allowBlank="1" showInputMessage="1" showErrorMessage="1" sqref="B25:B1048576 B2:B23" xr:uid="{82AAE4E3-3649-FC44-AA4C-B461D64B5C71}">
      <formula1>"Arizona,Bonafont,Red Cola,Jarritos,Jumex,LALA,Electrolit,Energizantes,Peñafiel,PepsiCo,Otro"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Comportamiento Enfriadores Geo</vt:lpstr>
      <vt:lpstr>Top 5 Mayor Invasión</vt:lpstr>
      <vt:lpstr>Tipo Invasión Distruidor</vt:lpstr>
      <vt:lpstr>Mix de Competencia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jl.rodriguezelias</dc:creator>
  <cp:lastModifiedBy>jl.rodriguezelias</cp:lastModifiedBy>
  <dcterms:created xsi:type="dcterms:W3CDTF">2026-01-20T19:32:58Z</dcterms:created>
  <dcterms:modified xsi:type="dcterms:W3CDTF">2026-01-29T00:40:58Z</dcterms:modified>
</cp:coreProperties>
</file>